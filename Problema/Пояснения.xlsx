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m-filesrv\Redirect_Folders$\Minenkov.a\Desktop\Для работы\Реестры поставщиков\Сентябрь\"/>
    </mc:Choice>
  </mc:AlternateContent>
  <xr:revisionPtr revIDLastSave="0" documentId="13_ncr:1_{551887D3-AFA6-4B07-87E2-D72B20509EA6}" xr6:coauthVersionLast="36" xr6:coauthVersionMax="36" xr10:uidLastSave="{00000000-0000-0000-0000-000000000000}"/>
  <bookViews>
    <workbookView xWindow="0" yWindow="0" windowWidth="28800" windowHeight="11685" tabRatio="880" activeTab="6" xr2:uid="{00000000-000D-0000-FFFF-FFFF00000000}"/>
  </bookViews>
  <sheets>
    <sheet name="Филиалы" sheetId="1" r:id="rId1"/>
    <sheet name="УК" sheetId="2" r:id="rId2"/>
    <sheet name="Жилье, питание, связь, аренда" sheetId="3" r:id="rId3"/>
    <sheet name="Непереносимые оплаты" sheetId="4" r:id="rId4"/>
    <sheet name="Оплаты в рамках 100 т.р." sheetId="5" r:id="rId5"/>
    <sheet name="График" sheetId="6" r:id="rId6"/>
    <sheet name="Согласовано" sheetId="7" r:id="rId7"/>
  </sheets>
  <definedNames>
    <definedName name="_xlnm._FilterDatabase" localSheetId="5" hidden="1">График!$A$1:$M$1</definedName>
    <definedName name="_xlnm._FilterDatabase" localSheetId="2" hidden="1">'Жилье, питание, связь, аренда'!$A$1:$M$1</definedName>
    <definedName name="_xlnm._FilterDatabase" localSheetId="3" hidden="1">'Непереносимые оплаты'!$A$1:$L$1</definedName>
    <definedName name="_xlnm._FilterDatabase" localSheetId="4" hidden="1">'Оплаты в рамках 100 т.р.'!$A$1:$M$1</definedName>
    <definedName name="_xlnm._FilterDatabase" localSheetId="6" hidden="1">Согласовано!$A$1:$L$1</definedName>
    <definedName name="_xlnm._FilterDatabase" localSheetId="1" hidden="1">УК!$A$1:$L$1</definedName>
    <definedName name="_xlnm._FilterDatabase" localSheetId="0" hidden="1">Филиалы!$A$1:$M$66</definedName>
  </definedNames>
  <calcPr calcId="191029"/>
</workbook>
</file>

<file path=xl/calcChain.xml><?xml version="1.0" encoding="utf-8"?>
<calcChain xmlns="http://schemas.openxmlformats.org/spreadsheetml/2006/main">
  <c r="P129" i="1" l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<sst xmlns="http://schemas.openxmlformats.org/spreadsheetml/2006/main" count="2466" uniqueCount="910">
  <si>
    <t>Статья движения денежных средств</t>
  </si>
  <si>
    <t>Сумма</t>
  </si>
  <si>
    <t>Получатель</t>
  </si>
  <si>
    <t>Заявка</t>
  </si>
  <si>
    <t>Дата заявки</t>
  </si>
  <si>
    <t>Статус</t>
  </si>
  <si>
    <t>Организация</t>
  </si>
  <si>
    <t>Подразделение</t>
  </si>
  <si>
    <t>Приоритет</t>
  </si>
  <si>
    <t>Назначение платежа</t>
  </si>
  <si>
    <t>Дата оплаты</t>
  </si>
  <si>
    <t>Заявитель</t>
  </si>
  <si>
    <t>Оплата поставщикам Прочие поставщики 4121</t>
  </si>
  <si>
    <t>Абулхаиров Ренат Рафаилович ИП</t>
  </si>
  <si>
    <t>СИ00-033695</t>
  </si>
  <si>
    <t>01.09.2026 7:48:29</t>
  </si>
  <si>
    <t>Согласована</t>
  </si>
  <si>
    <t>Сервис-Интегратор ООО</t>
  </si>
  <si>
    <t>ДТ ТОБОЛЬСК</t>
  </si>
  <si>
    <t>Стандартный</t>
  </si>
  <si>
    <t>Оплата по накладной №003683 от 05.08.2026 10185-00 руб.
В т.ч. НДС (5%) 485-00 руб.</t>
  </si>
  <si>
    <t>Силин Никита Сергеевич</t>
  </si>
  <si>
    <t>АВТОКОНТРОЛЬ ООО</t>
  </si>
  <si>
    <t>СИ00-025734</t>
  </si>
  <si>
    <t>09.07.2026 22:17:34</t>
  </si>
  <si>
    <t>ДТ КАЗАНЬ</t>
  </si>
  <si>
    <t>Оплата по договору №04/03-2024К от 21.03.2024 16500-00
В т.ч. НДС (22%) 2975-41 руб.</t>
  </si>
  <si>
    <t>Хакимов Рифат Рашатович</t>
  </si>
  <si>
    <t>СИ00-031230</t>
  </si>
  <si>
    <t>13.08.2026 22:00:31</t>
  </si>
  <si>
    <t>Оплата по договору №04/03-2024К от 21.03.2024 11000-00
В т.ч. НДС (22%) 1983-61 руб.</t>
  </si>
  <si>
    <t>СИ00-029057</t>
  </si>
  <si>
    <t>31.07.2026 22:00:34</t>
  </si>
  <si>
    <t>Оплата по договору №04/04-26А от 22.04.2026 46500-00
В т.ч. НДС (22%) 8385-24 руб.</t>
  </si>
  <si>
    <t>СИ00-027381</t>
  </si>
  <si>
    <t>21.07.2026 22:00:15</t>
  </si>
  <si>
    <t>Оплата по договору №04/03-2024К от 21.03.2024 18500-00
В т.ч. НДС (22%) 3336-07 руб.</t>
  </si>
  <si>
    <t>Автотранспортное предприятие ООО</t>
  </si>
  <si>
    <t>СИ00-032229</t>
  </si>
  <si>
    <t>20.08.2026 14:43:29</t>
  </si>
  <si>
    <t>Оплата по Договору на оказание услуг (предрейсового (послерейсового) осмотра водителей) от 01.01.2026 12500-00 руб.
Без налога (НДС)</t>
  </si>
  <si>
    <t>Шайхиева Любовь Игоревна</t>
  </si>
  <si>
    <t>АЛГОРИТМ ЭКСПЕРТИЗЫ ТРУДА ООО</t>
  </si>
  <si>
    <t>СИ00-035040</t>
  </si>
  <si>
    <t>09.09.2026 9:57:03</t>
  </si>
  <si>
    <t>ДТ НОВЫЙ УРЕНГОЙ</t>
  </si>
  <si>
    <t>Счет № 138-ОБ от 09.09.26, 32 000- руб
 Обучение охрана труда  Б; В (пожароопасные работы); В (работа на высоте); СИЗ; ПП; работа на высоте с присвоением 2 группы</t>
  </si>
  <si>
    <t>Фукс Елена Владимировна</t>
  </si>
  <si>
    <t>СИ00-034847</t>
  </si>
  <si>
    <t>08.09.2026 10:33:35</t>
  </si>
  <si>
    <t>Счет № 134-ОБ от 17.08.26, 32 000- руб
 Обучение охрана труда  Б; В (пожароопасные работы); В (работа на высоте); СИЗ; ПП; работа на высоте с присвоением 2 группы</t>
  </si>
  <si>
    <t>СИ00-034734</t>
  </si>
  <si>
    <t>07.09.2026 16:58:35</t>
  </si>
  <si>
    <t>ДТ ТУРУХАНСК</t>
  </si>
  <si>
    <t>Оплата согласно Договору № 006/ОБ от 08 августа 2024г. на оказание услуги. Обучение по программе:Водитель КМУ, слесарь- электрик, слесарь по ремонту Счет № 136-ОБ от 07.09.2026 г на 16 500 руб. Без НДС</t>
  </si>
  <si>
    <t>Малясова Анастасия Ивановна</t>
  </si>
  <si>
    <t>СИ00-035967</t>
  </si>
  <si>
    <t>14.09.2026 15:04:02</t>
  </si>
  <si>
    <t>Оплата согласно Договору № 006/ОБ от 08 августа 2024г. на оказание услуги. Обучение по программе:Машинист КМУ-2 чел,водитель погр, слесарь  Счет № 140-ОБ от 11.09.2026 г на 22 000 руб. Без НДС</t>
  </si>
  <si>
    <t>АЛГОРИТМИКС ООО</t>
  </si>
  <si>
    <t>СИ00-035069</t>
  </si>
  <si>
    <t>09.09.2026 12:25:25</t>
  </si>
  <si>
    <t>ДТ ЭЛЬГА</t>
  </si>
  <si>
    <t>Оплата по Спецификациям Договора поставки №3 от 21.01.2019 (по накл.) 311307-80 руб.
В т.ч. НДС (22%) 56137-47 руб.</t>
  </si>
  <si>
    <t>Павлин Александр Иванович</t>
  </si>
  <si>
    <t>Оплата поставщикам Запчасти, ремонт 4121</t>
  </si>
  <si>
    <t>Андриенко Дмитрий Викторович ИП</t>
  </si>
  <si>
    <t>СИ00-014080</t>
  </si>
  <si>
    <t>17.04.2026 7:27:02</t>
  </si>
  <si>
    <t>Оплата по Оплата по Спецификациям Договора поставки от 17.02.2025 67680-00 руб.
В т.ч. НДС (22%) 12204-59 руб. Форсунки С294НР797 СПУ</t>
  </si>
  <si>
    <t>Лапин Андрей Геннадьевич</t>
  </si>
  <si>
    <t>АСН-ЛИФТ ООО</t>
  </si>
  <si>
    <t>СИ00-027530</t>
  </si>
  <si>
    <t>22.07.2026 11:34:33</t>
  </si>
  <si>
    <t>Оплата по Договору № 9 на эксплуатацию, техническое обслуживание и ремонт лифтов от 01.12.2025 31720-00 руб.
В т.ч. НДС (22%) 5720-00 руб.</t>
  </si>
  <si>
    <t>Баймашкин Сергей Рушанович</t>
  </si>
  <si>
    <t>Бахтараев Василий Борисович ИП</t>
  </si>
  <si>
    <t>СИ00-029843</t>
  </si>
  <si>
    <t>05.08.2026 22:00:41</t>
  </si>
  <si>
    <t>ДТ ХАКАСИЯ</t>
  </si>
  <si>
    <t>Оплата по договору №2 от 01.10.2013 за обслуживание МФУ. Сумма 600-00
В т.ч. НДС (5%) 28-57 руб.</t>
  </si>
  <si>
    <t>Русин Николай Васильевич</t>
  </si>
  <si>
    <t>Бочкарев Евгений Евгеньевич ИП</t>
  </si>
  <si>
    <t>СИ00-034948</t>
  </si>
  <si>
    <t>08.09.2026 22:14:07</t>
  </si>
  <si>
    <t>Оплата по договору №1  от 18.03.2013 за мойку служебных ТС. Сумма 1250-00
Без налога (НДС)</t>
  </si>
  <si>
    <t>СИ00-021357</t>
  </si>
  <si>
    <t>09.06.2026 22:00:43</t>
  </si>
  <si>
    <t>Оплата по договору №1  от 18.03.2013 за мойку служебных ТС. Сумма 3625-00
Без налога (НДС)</t>
  </si>
  <si>
    <t>БУБОРГ-ОСТ ООО</t>
  </si>
  <si>
    <t>СИ00-036443</t>
  </si>
  <si>
    <t>16.09.2026 11:47:16</t>
  </si>
  <si>
    <t>ДТ КУЮМБА</t>
  </si>
  <si>
    <t xml:space="preserve">Оплата по Счет-договор № 510 от 16.09.2026 10500-00 руб.
В т.ч. НДС (22%) 1893-44 руб.Изготовление пластин ГРЗ (тип-1) ТКЛУ: Т085РН124, М720РС124, Н204РМ797, Х591РА797, Н841РУ797, Т466РО797, Р364ЕС797. </t>
  </si>
  <si>
    <t>Дроздов Дмитрий Анатольевич</t>
  </si>
  <si>
    <t>СИ00-036215</t>
  </si>
  <si>
    <t>15.09.2026 13:36:20</t>
  </si>
  <si>
    <t>Оплата по Счет на оплату № 509 от 15.09.2026 2800-00 руб.
В т.ч. НДС (22%) 504-92 руб.</t>
  </si>
  <si>
    <t>Зубков Иван Александрович</t>
  </si>
  <si>
    <t>ВТОРЭКОСЕРВИС ООО</t>
  </si>
  <si>
    <t>СИ00-033693</t>
  </si>
  <si>
    <t>01.09.2026 7:40:55</t>
  </si>
  <si>
    <t>ДТ КУЗБАСС</t>
  </si>
  <si>
    <t>Оплата по Договор № 209/26 движимого имущества от 01.01.2026 за аренду контейнера за Сентябрь. Сумма 950-00 руб.
В т.ч. НДС (5%) 45-24 руб.</t>
  </si>
  <si>
    <t>Абабкова Елена Валериевна</t>
  </si>
  <si>
    <t>ВЫМПЕЛ ООО ЧОО</t>
  </si>
  <si>
    <t>СИ00-026578</t>
  </si>
  <si>
    <t>15.07.2026 9:42:39</t>
  </si>
  <si>
    <t>ДТ МУРАВЛЕНКО</t>
  </si>
  <si>
    <t>Оплата по накладной №6 от 30.06.2026 331200-00 руб.
Без налога (НДС)</t>
  </si>
  <si>
    <t>Кривопустова Регина Сергеевна</t>
  </si>
  <si>
    <t>Галичанина Ольга Михайловна ИП</t>
  </si>
  <si>
    <t>СИ00-034564</t>
  </si>
  <si>
    <t>04.09.2026 22:00:06</t>
  </si>
  <si>
    <t>Оплата по договору №б/н от 2019г. за хоз.материалы. Сумма 3138-00
В т.ч. НДС (5%) 149-44 руб.</t>
  </si>
  <si>
    <t>Попова Анна Викторовна</t>
  </si>
  <si>
    <t>СИ00-034129</t>
  </si>
  <si>
    <t>02.09.2026 22:17:15</t>
  </si>
  <si>
    <t>Оплата по договору №б/н от 2019г. за инвентарь, хоз.материалы. Сумма 2740-00
В т.ч. НДС (5%) 130-48 руб.</t>
  </si>
  <si>
    <t>ГБУЗ КГБ</t>
  </si>
  <si>
    <t>СИ00-035277</t>
  </si>
  <si>
    <t>10.09.2026 22:00:23</t>
  </si>
  <si>
    <t>Оплата по договору №151 от 08.11.2024 за обязательные медицинские услуги для сотрудников. Сумма 2611-00
Без налога (НДС)</t>
  </si>
  <si>
    <t>Воронкина Ирина Владимировна</t>
  </si>
  <si>
    <t>ГБУЗ ППБ</t>
  </si>
  <si>
    <t>СИ00-034950</t>
  </si>
  <si>
    <t>08.09.2026 22:14:13</t>
  </si>
  <si>
    <t>Оплата по договору №45 от 12.01.2026 за обязательные медицинские услуги для сотрудников. Сумма 1045-00
Без налога (НДС)</t>
  </si>
  <si>
    <t>ГЛОНАСС АО</t>
  </si>
  <si>
    <t>СИ00-029644</t>
  </si>
  <si>
    <t>05.08.2026 7:39:16</t>
  </si>
  <si>
    <t>ДТ УК</t>
  </si>
  <si>
    <t>Оплата по Договору №210009198726 от 26.04.23г,(210009198726/499808) Услуги связи по "ЭРА-Телематика", предактивация - 6шт,передача инфо в Ространснадзор - 6шт.
Сумма 10 797-00руб
В т.ч. НДС(22%) 1 947-00руб</t>
  </si>
  <si>
    <t>Ермакова Алёна Викторовна</t>
  </si>
  <si>
    <t>СИ00-029645</t>
  </si>
  <si>
    <t>05.08.2026 7:52:27</t>
  </si>
  <si>
    <t>Оплата по Договору №210009198726 от 26.04.23г,(210009198726/499809) Услуги связи по "ЭРА-Телематика" 6шт,передача инфо в Ространснадзор - 6шт, сентябрь 2026г
Сумма 1 573-80руб
В т.ч. НДС(22%) 283-80руб</t>
  </si>
  <si>
    <t>Государственный региональный центр стандартизации,метрологии и испытаний в Красноярском крае</t>
  </si>
  <si>
    <t>СИ00-033265</t>
  </si>
  <si>
    <t>28.08.2026 5:19:14</t>
  </si>
  <si>
    <t>Оплата по Договор № 312-26 на оказание метрологических услуг от 14.04.2026 857-66 руб.
В т.ч. НДС (22%) 154-66 руб.</t>
  </si>
  <si>
    <t>СИ00-034161</t>
  </si>
  <si>
    <t>03.09.2026 5:46:51</t>
  </si>
  <si>
    <t>Оплата по Договор № 312-26 на оказание метрологических услуг от 14.04.2026 19416-30 руб.
В т.ч. НДС (22%) 3501-30 руб.</t>
  </si>
  <si>
    <t>ГРУППА Т-1 АО</t>
  </si>
  <si>
    <t>СИ00-034415</t>
  </si>
  <si>
    <t>04.09.2026 9:22:51</t>
  </si>
  <si>
    <t>ДТ ОМСК</t>
  </si>
  <si>
    <t>Оплата по Договор № Т-1 010/26 ТП оказания услуг от 05.03.2026 13800-00 руб.
Без налога (НДС)</t>
  </si>
  <si>
    <t>Дорошенко Ростислав Олегович</t>
  </si>
  <si>
    <t>КАРСАР ООО</t>
  </si>
  <si>
    <t>СИ00-031923</t>
  </si>
  <si>
    <t>19.08.2026 9:05:42</t>
  </si>
  <si>
    <t>Оплата по Договору № 401-24 стоянки автотранспорта от 01.03.2024 15000-00 руб.
В т.ч. НДС (22%) 2704-92 руб.</t>
  </si>
  <si>
    <t>КЕБА ООО</t>
  </si>
  <si>
    <t>СИ00-035282</t>
  </si>
  <si>
    <t>10.09.2026 22:00:54</t>
  </si>
  <si>
    <t>Оплата по договору №СИ/2025 от 25.09.2025 за мойку и шиномонтаж служебных ТС. Сумма 88145-00
В т.ч. НДС (22%) 15895-00 руб.</t>
  </si>
  <si>
    <t>Жданова Надежда Витальевна</t>
  </si>
  <si>
    <t>Кемеровская электротранспортная компания АО</t>
  </si>
  <si>
    <t>СИ00-031595</t>
  </si>
  <si>
    <t>17.08.2026 11:42:57</t>
  </si>
  <si>
    <t>Оплата по Договор об оказании медицинских услуг от 01.01.2026 за обязательные медицинские услуги для сотрудников за Сентябрь. Сумма 45000-00 руб.
Без налога (НДС)</t>
  </si>
  <si>
    <t>Герасимова Наталья Васильевна</t>
  </si>
  <si>
    <t>СИ00-035674</t>
  </si>
  <si>
    <t>14.09.2026 5:47:29</t>
  </si>
  <si>
    <t>Оплата по Договор об оказании медицинских услуг от 01.01.2026 за обязательные медицинские услуги для сотрудников за Август. Сумма 22596-00 руб.
Без налога (НДС)</t>
  </si>
  <si>
    <t>КРАСМОТОРС-М ООО</t>
  </si>
  <si>
    <t>СИ00-034569</t>
  </si>
  <si>
    <t>04.09.2026 22:00:23</t>
  </si>
  <si>
    <t>Оплата по договору №2026/06-11/СИ от 20.05.2026 12107-63
В т.ч. НДС (22%) 2183-35 руб.</t>
  </si>
  <si>
    <t>Карпов Сергей Владимирович</t>
  </si>
  <si>
    <t>МЕГАПЕЙДЖ ООО</t>
  </si>
  <si>
    <t>СИ00-023501</t>
  </si>
  <si>
    <t>07.07.2025 7:36:40</t>
  </si>
  <si>
    <t>ДТ МОСКВА</t>
  </si>
  <si>
    <t>Оплата по УПД №13597 от 30.06.25 Абонентское обслуживание за 14ТС, июнь 2025г
Сумма 5 600-00руб.
В т.ч. НДС (20%) 933-33руб</t>
  </si>
  <si>
    <t>СИ00-031242</t>
  </si>
  <si>
    <t>03.09.2025 9:00:00</t>
  </si>
  <si>
    <t>Оплата по УПД №17907 от 31.08.25 Абонентское обслуживание за 14ТС, август 2025г
Сумма 5 600-00руб.
В т.ч. НДС (20%) 933-33руб</t>
  </si>
  <si>
    <t>СИ00-027039</t>
  </si>
  <si>
    <t>04.08.2025 8:43:09</t>
  </si>
  <si>
    <t>Оплата по УПД №15862 от 31.07.25 Абонентское обслуживание за 14ТС, июль 2025г
Сумма 5 600-00руб.
В т.ч. НДС (20%) 933-33руб</t>
  </si>
  <si>
    <t>МЕДГАРАНТ ООО</t>
  </si>
  <si>
    <t>СИ00-035616</t>
  </si>
  <si>
    <t>12.09.2026 22:00:08</t>
  </si>
  <si>
    <t>Оплата по договору №279/24-М от 08.11.2024 за обязательные медицинские услуги для сотрудников. Сумма 3400-00
Без налога (НДС)</t>
  </si>
  <si>
    <t>МУРАВЛЕНКОВСКАЯ ГБ ГБУЗ ЯНАО л/с 85431002</t>
  </si>
  <si>
    <t>СИ00-030904</t>
  </si>
  <si>
    <t>12.08.2026 12:22:29</t>
  </si>
  <si>
    <t>Оплата по накладной №380 от 04.08.2026 93240-00 руб.
Без налога (НДС)</t>
  </si>
  <si>
    <t>МЦ ПРОФЕССИОНАЛЬНОГО ОБУЧЕНИЯ НОУ ДПО</t>
  </si>
  <si>
    <t>СИ00-034943</t>
  </si>
  <si>
    <t>08.09.2026 22:13:52</t>
  </si>
  <si>
    <t>ДТ КРАСНОЯРСК</t>
  </si>
  <si>
    <t>Оплата по договору №197/2019 от 22.03.2019 за Обязательное обучение персонала. Сумма 2500-00
Без налога (НДС)</t>
  </si>
  <si>
    <t>НИС-ГЛОНАСС ООО</t>
  </si>
  <si>
    <t>СИ00-026437</t>
  </si>
  <si>
    <t>14.07.2026 10:29:08</t>
  </si>
  <si>
    <t xml:space="preserve">Оплата по Счет №3131 от 13.07.26г Антенна внешняя GPS - 20шт, Антенна внешняя GSM - 30шт
Сумма 17 300-00руб
В т.ч НДС(22%) 3 119-67руб
</t>
  </si>
  <si>
    <t>НОВАТИКА ООО</t>
  </si>
  <si>
    <t>СИ00-015392</t>
  </si>
  <si>
    <t>28.04.2026 6:17:56</t>
  </si>
  <si>
    <t>Оплата по договору №40711207-1 от  22.03.2021 3150-00
НДС 5%. Сумма НДС 435-00 рублей. Счет-фактура №519 от 20.04.2026</t>
  </si>
  <si>
    <t>Большаков Владимир Александрович</t>
  </si>
  <si>
    <t>СИ00-014631</t>
  </si>
  <si>
    <t>22.04.2026 7:44:33</t>
  </si>
  <si>
    <t>Оплата по договору №40711207-1 от  22.03.2021 3150-00
НДС 5%. Счет-фактура №490 от 20.04.2026</t>
  </si>
  <si>
    <t>СИ00-016518</t>
  </si>
  <si>
    <t>05.05.2026 10:38:23</t>
  </si>
  <si>
    <t>Оплата по договору №40711207-1 от  22.03.2021 3150-00
НДС 5%. Сумма НДС 150-00 рублей. Счет-фактура №567 от 04.05.2026</t>
  </si>
  <si>
    <t>ПРОФИНФОРМЗАЩИТА ООО</t>
  </si>
  <si>
    <t>СИ00-032062</t>
  </si>
  <si>
    <t>19.08.2026 13:59:04</t>
  </si>
  <si>
    <t>Оплата по Договору № 2025/12-04/СИ на осуществление услуг по сервисному (техническому) обслуживанию от 01.01.2026 104920-00 руб.
В т.ч. НДС (22%) 18920-02 руб.</t>
  </si>
  <si>
    <t>Сафиуллин Рамис Ильясович</t>
  </si>
  <si>
    <t>РМ-СЕРВИС ООО</t>
  </si>
  <si>
    <t>СИ00-034566</t>
  </si>
  <si>
    <t>04.09.2026 22:00:14</t>
  </si>
  <si>
    <t>Оплата по договору №б/н от 31.01.2017 за заправку картриджей. Сумма 2850-00
Без налога (НДС)</t>
  </si>
  <si>
    <t>Шульгин Андрей Павлович</t>
  </si>
  <si>
    <t>Русская производственная компания ООО</t>
  </si>
  <si>
    <t>СИ00-033034</t>
  </si>
  <si>
    <t>27.08.2026 5:26:24</t>
  </si>
  <si>
    <t>Оплата по Договор № ДП-РПК-1/25 поставки производственной продукции от 01.04.2025 168693-84 руб.
В т.ч. НДС (22%) 30420-20 руб.</t>
  </si>
  <si>
    <t>ТД КАМАЦЕНТРСЕРВИС ООО</t>
  </si>
  <si>
    <t>СИ00-031484</t>
  </si>
  <si>
    <t>17.08.2026 5:37:19</t>
  </si>
  <si>
    <t>Оплата по Счет-договор № КСУТ-025711 от 13.08.2026 42210-56 руб.
В т.ч. НДС (22%) 7611-74 руб.  8711 № ух1934\77 ТПУ</t>
  </si>
  <si>
    <t>Кокоулин Дмитрий Геннадьевич</t>
  </si>
  <si>
    <t>ТЕСТ ООО</t>
  </si>
  <si>
    <t>СИ00-034334</t>
  </si>
  <si>
    <t>03.09.2026 22:00:12</t>
  </si>
  <si>
    <t>Оплата по договору №59 от 02.12.2024 за обязательные медицинские услуги для сотрудников. Сумма 4428-00
Без налога (НДС)</t>
  </si>
  <si>
    <t>Ужченко Виктория Владимировна ИП</t>
  </si>
  <si>
    <t>СИ00-034339</t>
  </si>
  <si>
    <t>03.09.2026 22:00:38</t>
  </si>
  <si>
    <t>Оплата по договору №2021/12-14/СИ от 21.12.2021 за обязательные медицинские услуги для сотрудников. Сумма 15120-00
Без налога (НДС)</t>
  </si>
  <si>
    <t>УКК ВЕДАНА ООО</t>
  </si>
  <si>
    <t>СИ00-034979</t>
  </si>
  <si>
    <t>09.09.2026 6:53:50</t>
  </si>
  <si>
    <t>Оплата услуг по приложению № 44 от 04.09.2026 к договору №180/2-ШИ-БС от 21.05.2025г, сумма 4400,00 руб., в том числе НДС 5% 209,52 руб.</t>
  </si>
  <si>
    <t>Зеленко Владимир Игоревич</t>
  </si>
  <si>
    <t>СИ00-034978</t>
  </si>
  <si>
    <t>09.09.2026 6:47:39</t>
  </si>
  <si>
    <t>Оплата услуг по приложению № 45 от 07.09.2026г к договору №180/2-ШИ-БС от 21.05.2025г, сумма 4500,00 руб., в том числе НДС 5% 214,29 руб.</t>
  </si>
  <si>
    <t>ФОРМУЛА ООО</t>
  </si>
  <si>
    <t>СИ00-034955</t>
  </si>
  <si>
    <t>08.09.2026 22:14:30</t>
  </si>
  <si>
    <t>Оплата по договору №1/26 от 10.02.2026 за обязательные медицинские услуги для сотрудников. Сумма 2640-00
Без налога (НДС)</t>
  </si>
  <si>
    <t>ФРИКОМ ООО</t>
  </si>
  <si>
    <t>СИ00-025528</t>
  </si>
  <si>
    <t>08.07.2026 13:01:03</t>
  </si>
  <si>
    <t>ДТ БУРЯТИЯ</t>
  </si>
  <si>
    <t>Оплата по Договор № Ф003-0117 от 01.01.2017 8200-00 руб.
В т.ч. НДС (22%) 1478-69 руб. Ремонт оргтехники со склада.</t>
  </si>
  <si>
    <t>Харабаров Иван Семёнович</t>
  </si>
  <si>
    <t>ФЭО ФГУП</t>
  </si>
  <si>
    <t>СИ00-021148</t>
  </si>
  <si>
    <t>09.06.2026 6:11:23</t>
  </si>
  <si>
    <t>Окончательный расчет за услуги обращения с отходом 92011001532, аккумуляторы свинцовые отработанные неповрежденные, с электролитом по заявке № 271820 к договору, сумма 53 347,90, в том числе НДС 22% 9 620-11</t>
  </si>
  <si>
    <t>Крапивина Татьяна Александровна</t>
  </si>
  <si>
    <t>ХИМСТРОЙИНЖИНИРИНГ ООО</t>
  </si>
  <si>
    <t>СИ00-025744</t>
  </si>
  <si>
    <t>09.07.2026 22:18:51</t>
  </si>
  <si>
    <t>Оплата по договору №2026/01-56/СИ от 01.01.2026 69644-15
В т.ч. НДС (22%) 12558-78 руб.</t>
  </si>
  <si>
    <t>ЦАСО ООО</t>
  </si>
  <si>
    <t>СИ00-018849</t>
  </si>
  <si>
    <t>20.05.2026 22:17:45</t>
  </si>
  <si>
    <t>Оплата по договору №19/2025 от 18.04.2025 180000-00
В т.ч. НДС (20%) 30000-00 руб.</t>
  </si>
  <si>
    <t>Граков Владимир Дмитриевич</t>
  </si>
  <si>
    <t>СИ00-032426</t>
  </si>
  <si>
    <t>21.08.2026 22:00:18</t>
  </si>
  <si>
    <t>Оплата по договору №19/2025 от 18.04.2025 38796-00
В т.ч. НДС (22%) 6996-00 руб.</t>
  </si>
  <si>
    <t>Центр квантовой медицины № 1</t>
  </si>
  <si>
    <t>СИ00-029643</t>
  </si>
  <si>
    <t>05.08.2026 7:38:19</t>
  </si>
  <si>
    <t>Оплата по договору №780/20 от 20.08.2020 71280-00
Без налога (НДС)</t>
  </si>
  <si>
    <t>Пархоменко Валерия Сергеевна</t>
  </si>
  <si>
    <t>ЦЭР И АУДИТА ООО</t>
  </si>
  <si>
    <t>СИ00-023220</t>
  </si>
  <si>
    <t>24.06.2026 6:09:44</t>
  </si>
  <si>
    <t>Оплата по договору ЦЭРиА/120-2025 от 21.11.2025 выполнение работ по IV, V, VI, VII этапам договора, согласно УПД № 06-0097 от 23.06.2026г. 
Окончательный расчет  104601,84 НДС (5%) 4981,04</t>
  </si>
  <si>
    <t>ЧОП КЕННАРД ООО</t>
  </si>
  <si>
    <t>СИ00-027529</t>
  </si>
  <si>
    <t>22.07.2026 11:32:40</t>
  </si>
  <si>
    <t>Оплата по Договору № 114-2025ДР по охране объекта посредством Пульта централизованной охраны от 18.08.2025 3000-00 руб.
В т.ч. НДС (22%) 540-98 руб.</t>
  </si>
  <si>
    <t>ЭКО-СИБИРЬ-ПРОЕКТ ООО</t>
  </si>
  <si>
    <t>СИ00-014743</t>
  </si>
  <si>
    <t>22.04.2026 12:54:53</t>
  </si>
  <si>
    <t>Оплата 50% по договору № 64/В/26 на выполнение работ по разработки природоохранной документации от 09.04.2026 168000-00 руб.
В т.ч. НДС (5%) 8000-00 руб.</t>
  </si>
  <si>
    <t>ЭТАЛОН-СЕРВИС ООО</t>
  </si>
  <si>
    <t>СИ00-034949</t>
  </si>
  <si>
    <t>08.09.2026 22:14:10</t>
  </si>
  <si>
    <t>Оплата по договору №62-ТО/2025  от 01.12.2024 2000-00 услуга ТО АУПС за август 2026г.
Без налога (НДС)</t>
  </si>
  <si>
    <t>Титова Наталья Викторовна</t>
  </si>
  <si>
    <t>ОЦ ВИТАЛЕНА ООО</t>
  </si>
  <si>
    <t>СИ00-036246</t>
  </si>
  <si>
    <t>15.09.2026 22:19:01</t>
  </si>
  <si>
    <t>Оплата по договору №2025/01-47/СИ от 17.01.2025 85800-00
Без налога (НДС)</t>
  </si>
  <si>
    <t>СИ00-036297</t>
  </si>
  <si>
    <t>16.09.2026 6:16:49</t>
  </si>
  <si>
    <t>Оплата услуг по приложению № 46 от 11.09.2026 к договору №180/2-ШИ-БС от 21.05.2025г, сумма 1500,00 руб., в том числе НДС 5% 71,43 руб.</t>
  </si>
  <si>
    <t>Оплата поставщикам Аренда помещений, коммунальные платежи и связь 4121</t>
  </si>
  <si>
    <t>НОП СИБИРЬ-ТНХ ООО</t>
  </si>
  <si>
    <t>СИ00-034663</t>
  </si>
  <si>
    <t>07.09.2026 8:39:53</t>
  </si>
  <si>
    <t>Оплата по накладной №900 от 31.08.2026 7060-97 руб.
В т.ч. НДС (22%) 1273-29 руб.</t>
  </si>
  <si>
    <t>Канаева Ирина Андреевна</t>
  </si>
  <si>
    <t>Оплата поставщикам Спецодежда 4121</t>
  </si>
  <si>
    <t>АЙКОН ООО</t>
  </si>
  <si>
    <t>СИ00-036485</t>
  </si>
  <si>
    <t>16.09.2026 16:59:28</t>
  </si>
  <si>
    <t>Оплата по Счет-договор № 208 от 08.09.2026 42330-00 руб.
В т.ч. НДС (22%) 7633-28 руб.</t>
  </si>
  <si>
    <t>17.09.2026</t>
  </si>
  <si>
    <t>Понаськов Александр Анатольевич</t>
  </si>
  <si>
    <t>ТЕХНОЛОГИИ УМНОЙ МОБИЛЬНОСТИ ООО</t>
  </si>
  <si>
    <t>СИ00-036486</t>
  </si>
  <si>
    <t>16.09.2026 17:10:46</t>
  </si>
  <si>
    <t>Оплата по Договор № FMS/01/2704-26 от 01.05.2026 по счету № 32904532 от 16.09.2026 на 50000-00 руб.
Без налога (НДС)</t>
  </si>
  <si>
    <t>Сводная таблица оплат по подразделениям</t>
  </si>
  <si>
    <t>Контрагент</t>
  </si>
  <si>
    <t>Итого</t>
  </si>
  <si>
    <t>Пояснение</t>
  </si>
  <si>
    <t>Оформление карт тахографа, поставка СКЗИ</t>
  </si>
  <si>
    <t>Спецодежда</t>
  </si>
  <si>
    <t>Обучение</t>
  </si>
  <si>
    <t>Закупка ТМЦ</t>
  </si>
  <si>
    <t>Обслуживание лифтов</t>
  </si>
  <si>
    <t>Техосмотры</t>
  </si>
  <si>
    <t>Медосмотры</t>
  </si>
  <si>
    <t>Изготовление госномеров</t>
  </si>
  <si>
    <t>Расходы IT</t>
  </si>
  <si>
    <t>Мойка ТС/Шиномонтаж</t>
  </si>
  <si>
    <t>Аренда контейнера</t>
  </si>
  <si>
    <t>Охрана</t>
  </si>
  <si>
    <t>Связь</t>
  </si>
  <si>
    <t>Услуги по мониторингу транспортных средств</t>
  </si>
  <si>
    <t>Материалы, инвентарь</t>
  </si>
  <si>
    <t>Поверка автоцестерн</t>
  </si>
  <si>
    <t>Стоянка ТС</t>
  </si>
  <si>
    <t>Запчасти</t>
  </si>
  <si>
    <t>Расходы на глонасс</t>
  </si>
  <si>
    <t>Пропуска на территорию</t>
  </si>
  <si>
    <t>Сервисное обслуживание</t>
  </si>
  <si>
    <t>Оплата за воду</t>
  </si>
  <si>
    <t>Поставка ТМЦ</t>
  </si>
  <si>
    <t>Парковка</t>
  </si>
  <si>
    <t>Ремонт МФУ</t>
  </si>
  <si>
    <t>Услуги обращения с отходом</t>
  </si>
  <si>
    <t>Обеспечение условий труда</t>
  </si>
  <si>
    <t>Выполнение работ по разработке и согласованию проектной документации</t>
  </si>
  <si>
    <t>Разработки природоохранной документации</t>
  </si>
  <si>
    <t>ТО пожарной сигнализации</t>
  </si>
  <si>
    <t>ИТОГО</t>
  </si>
  <si>
    <t>АРКАДА ООО</t>
  </si>
  <si>
    <t>СИ00-034698</t>
  </si>
  <si>
    <t>07.09.2026 11:54:56</t>
  </si>
  <si>
    <t>Оплата по Договор № 11 от 10.07.2026 по счету № 204 от 04.09.26 на сумму 10000-00 руб.
Без налога (НДС)</t>
  </si>
  <si>
    <t>Семенов Владимир Александрович</t>
  </si>
  <si>
    <t>СИ00-036231</t>
  </si>
  <si>
    <t>15.09.2026 15:55:27</t>
  </si>
  <si>
    <t>Оплата по Договор № 11 от 10.07.2026 по счету № 208 от 10.09.26 на сумму 10000-00 руб.
Без налога (НДС)</t>
  </si>
  <si>
    <t>МОРОЗОФФ ООО</t>
  </si>
  <si>
    <t>СИ00-036229</t>
  </si>
  <si>
    <t>15.09.2026 15:21:55</t>
  </si>
  <si>
    <t>Оплата 30% по Договору поставки № 1641/2026 от 01.09.2026 (подарки на НГ) на сумму 1020000-00 руб.
В т.ч. НДС (22%) 183934-43 руб.</t>
  </si>
  <si>
    <t>Тохташева Ирина Анатольевна</t>
  </si>
  <si>
    <t>МОСКОВСКИЙ МЕТРОПОЛИТЕН ГУП</t>
  </si>
  <si>
    <t>СИ00-036232</t>
  </si>
  <si>
    <t>15.09.2026 16:03:58</t>
  </si>
  <si>
    <t>Оплата по Договор № 5398м на оказание услуг по обучению от 03.09.2025 по счету  на сумму 65736-00 руб.
В т.ч. НДС (22%) 11854-03 руб.</t>
  </si>
  <si>
    <t>Мультибрендовый ООО</t>
  </si>
  <si>
    <t>СИ00-035959</t>
  </si>
  <si>
    <t>14.09.2026 14:18:40</t>
  </si>
  <si>
    <t>Оплата по Спецификации №14 от 08.09.2026 к Договору № 20251031/3 от 31.10.2025 123200-00 руб.
В т.ч. НДС (22%) 22216-39 руб.</t>
  </si>
  <si>
    <t>Даль Надежда Дмитриевна</t>
  </si>
  <si>
    <t>РАДЕЖ ТЕХСЕРВИС ООО (до 24.12.2025 ФЭТС ООО)</t>
  </si>
  <si>
    <t>СИ00-036230</t>
  </si>
  <si>
    <t>15.09.2026 15:53:25</t>
  </si>
  <si>
    <t>Оплата по акту №204 от 31.08.2026 на сумму 54180-20 руб.
В т.ч. НДС (22%) 9770-20 руб.</t>
  </si>
  <si>
    <t>Оплата поставщикам Шины 4121</t>
  </si>
  <si>
    <t>САМ - МБ ООО (КПП 500101001)</t>
  </si>
  <si>
    <t>СИ00-035958</t>
  </si>
  <si>
    <t>13.08.2026 12:12:00</t>
  </si>
  <si>
    <t>Оплата по Спецификациям Договора поставки № 10/13/03-2017 от 13.10.2017 за шины для служебных ТС 400000-00 руб.
В т.ч. НДС (22%) 72131-15 руб.</t>
  </si>
  <si>
    <t>Винокуров Роман Александрович</t>
  </si>
  <si>
    <t>СТИВ СЕРВИС ООО</t>
  </si>
  <si>
    <t>СИ00-026922</t>
  </si>
  <si>
    <t>16.07.2026 17:53:56</t>
  </si>
  <si>
    <t>Оплата по Договору № С2-26 от 13.03.2026 на оказание услуг по техническому обслуживанию оргтехники 6700-00 руб.
В т.ч. НДС (22%) 1208-19 руб.</t>
  </si>
  <si>
    <t>СИ00-031224</t>
  </si>
  <si>
    <t>13.08.2026 16:56:45</t>
  </si>
  <si>
    <t>Оплата по Договору № С2-26 от 13.03.2026 на оказание услуг по техническому обслуживанию оргтехники 5100-00 руб.
В т.ч. НДС (22%) 919-67 руб.</t>
  </si>
  <si>
    <t>ТМ-СЕРВИС ООО</t>
  </si>
  <si>
    <t>СИ00-030257</t>
  </si>
  <si>
    <t>09.08.2026 13:05:59</t>
  </si>
  <si>
    <t xml:space="preserve">Право на использование и предоставление доступа к программе для ЭВМ "Медицинский терминал" за июль  2026г. по счету №525 от 31.07.2026 Бурятия Без НДС </t>
  </si>
  <si>
    <t>Фокин Андрей Владимирович</t>
  </si>
  <si>
    <t>СИ00-035621</t>
  </si>
  <si>
    <t>13.09.2026 9:24:22</t>
  </si>
  <si>
    <t xml:space="preserve">Право на использование и предоставление доступа к программе для ЭВМ "Медицинский терминал" за август  2026г. по счету №599 от 31.08.2026 Бурятия Без НДС </t>
  </si>
  <si>
    <t>СИ00-035622</t>
  </si>
  <si>
    <t>13.09.2026 9:27:12</t>
  </si>
  <si>
    <t xml:space="preserve">Право на использование и предоставление доступа к программе для ЭВМ "Медицинский терминал" за август 2026г. по счету №600 от 31.08,2026 Казань Без НДС </t>
  </si>
  <si>
    <t>СИ00-035620</t>
  </si>
  <si>
    <t>13.09.2026 9:09:15</t>
  </si>
  <si>
    <t>Право на использование и предоставление доступа к программе для ЭВМ "Медицинский терминал" за август 2026 по счету №598 от 31.08.2026 (Белово). Без НДС.</t>
  </si>
  <si>
    <t>СИ00-035628</t>
  </si>
  <si>
    <t>13.09.2026 9:33:28</t>
  </si>
  <si>
    <t xml:space="preserve">Право на использование и предоставление доступа к программе для ЭВМ "Медицинский терминал" за август 2026г. счет № 603 от 31.08.2026г. , без НДС
ЛК </t>
  </si>
  <si>
    <t>СИ00-035623</t>
  </si>
  <si>
    <t>13.09.2026 9:29:19</t>
  </si>
  <si>
    <t>Право на использование и предоставление доступа к программе для ЭВМ "Автоматизированные медицинские осмотры" за август 2026 г. по счету №601 от 31.08,.2026 Киселевск Без НДС</t>
  </si>
  <si>
    <t>СИ00-035627</t>
  </si>
  <si>
    <t>13.09.2026 9:31:28</t>
  </si>
  <si>
    <t>Право на использование и предоставление доступа к программе для ЭВМ "Автоматизированные медицинские осмотры" за август куюмба 2026г. по счету№602 от 31.08.2026. Куюмба. Без НДС</t>
  </si>
  <si>
    <t>СИ00-035629</t>
  </si>
  <si>
    <t>13.09.2026 9:35:16</t>
  </si>
  <si>
    <t>Оплата по Договор № 30  от 28.05.2019 за август 2026г по счету от 31.08.2026 №604. Сумма 21000-00 руб.
Без налога (НДС)</t>
  </si>
  <si>
    <t>ТЭК-ТОРГ АО</t>
  </si>
  <si>
    <t>СИ00-036133</t>
  </si>
  <si>
    <t>15.09.2026 9:34:53</t>
  </si>
  <si>
    <t xml:space="preserve">Оплата по Основной договор УК 303983-74 руб. В т.ч. НДС (22%) 54816-74 руб.
Пополнение лицевого счета №1100050800/1. Годовой тариф для участия в тендерах. </t>
  </si>
  <si>
    <t>Смирнов Владимир Сергеевич</t>
  </si>
  <si>
    <t>Конфеты и подарки</t>
  </si>
  <si>
    <t>Шины</t>
  </si>
  <si>
    <t>Обслуживание оргтехники</t>
  </si>
  <si>
    <t>Телемедики</t>
  </si>
  <si>
    <t>Тендеры</t>
  </si>
  <si>
    <t>Алексеев Владимир Анатольевич</t>
  </si>
  <si>
    <t>СИ00-034619</t>
  </si>
  <si>
    <t>07.09.2026 6:49:40</t>
  </si>
  <si>
    <t>Оплата по Договор Аренды жилого помещения б/н от 01.04.24 г. за СЕНТЯБРЬ 2026. Сумма 25000-00 руб.
Без налога (НДС)</t>
  </si>
  <si>
    <t>Мерзлякова Линара Фаритовна</t>
  </si>
  <si>
    <t>БРИЗ ООО (ИНН 5401336141)</t>
  </si>
  <si>
    <t>СИ00-036077</t>
  </si>
  <si>
    <t>15.09.2026 7:44:53</t>
  </si>
  <si>
    <t>Оплата арендной платы за 10/26 г. 58000-00 руб.
В т.ч. НДС (5%) 2761-90 руб.</t>
  </si>
  <si>
    <t>Моисеева Юлия Анатольевна</t>
  </si>
  <si>
    <t>Оплата поставщикам Питание 4121</t>
  </si>
  <si>
    <t>ВЕГА ООО (ИНН 2461046522)</t>
  </si>
  <si>
    <t>СИ00-035109</t>
  </si>
  <si>
    <t>09.09.2026 22:00:38</t>
  </si>
  <si>
    <t xml:space="preserve">Оплата по договору № от 01.09.2023 8252-00 без налога (НДС), Оплата за питание 110 куст УПД № 811 от 31.08.2026. </t>
  </si>
  <si>
    <t>Калинина Валерия Владимировна</t>
  </si>
  <si>
    <t>ВЫМПЕЛКОМ ПАО (КПП 771301001)</t>
  </si>
  <si>
    <t>СИ00-036233</t>
  </si>
  <si>
    <t>15.09.2026 16:05:07</t>
  </si>
  <si>
    <t>Оплата за услуги связи по Договору № 374760482 за август 2026.
В т.ч. НДС (22%) 12863-16 руб.</t>
  </si>
  <si>
    <t>Гордейко Янина Викторовна</t>
  </si>
  <si>
    <t>СИ00-036036</t>
  </si>
  <si>
    <t>15.09.2026 6:18:07</t>
  </si>
  <si>
    <t>Оплата по Договор аренды от 09.04.2024 40000-00 руб.
Без налога (НДС)</t>
  </si>
  <si>
    <t>Елизарова Екатерина Александровна</t>
  </si>
  <si>
    <t>Е-Лайт-Телеком ООО</t>
  </si>
  <si>
    <t>СИ00-035103</t>
  </si>
  <si>
    <t>09.09.2026 22:00:03</t>
  </si>
  <si>
    <t>Оплата по договору №10362-ю от 26.05.2015 за услуги Интернет за Август 3720-00
В т.ч. НДС (22%) 670-82 руб.</t>
  </si>
  <si>
    <t>КУЗБАССЭНЕРГОСБЫТ ПАО КПП 775050001</t>
  </si>
  <si>
    <t>СИ00-035632</t>
  </si>
  <si>
    <t>14.09.2026 3:21:19</t>
  </si>
  <si>
    <t>Оплата по Договор № 710870 энергоснабжения от 18.10.2024 613-07 руб.окончательный платеж за август 26г.
В т.ч. НДС (22%) 110-55 руб.</t>
  </si>
  <si>
    <t>СИ00-035633</t>
  </si>
  <si>
    <t>14.09.2026 3:27:56</t>
  </si>
  <si>
    <t>Оплата по Договор № 710870 энергоснабжения от 18.10.2024 1462-00 руб. промежуточный плате за сентябрь 26 г.
В т.ч. НДС (22%) 263-64 руб.</t>
  </si>
  <si>
    <t>МЕГАФОН ПАО (КПП 667003001)</t>
  </si>
  <si>
    <t>СИ00-034660</t>
  </si>
  <si>
    <t>07.09.2026 8:07:47</t>
  </si>
  <si>
    <t>Оплата по Договор об оказании услуг связи № ФД-СтФ-1687/2020 от 06.05.2020 (л/с 735012451)  18458-60 руб.
В т.ч. НДС (22%) 3328-60 руб.</t>
  </si>
  <si>
    <t>МТС ПАО (КПП 997750001)</t>
  </si>
  <si>
    <t>СИ00-036238</t>
  </si>
  <si>
    <t>15.09.2026 16:59:57</t>
  </si>
  <si>
    <t>Оплата за услуги связи по единому л/с 277708098243 за июль 2026.
В т.ч. НДС (22%) 41794-28 руб.</t>
  </si>
  <si>
    <t>СИ00-036239</t>
  </si>
  <si>
    <t>15.09.2026 17:03:29</t>
  </si>
  <si>
    <t>Оплата за услуги связи по единому л/с 277757860774 за июль 2026.
В т.ч. НДС (22%) 22017-45 руб.</t>
  </si>
  <si>
    <t>МУС ЭНЕРГЕТИКИ АО</t>
  </si>
  <si>
    <t>СИ00-034929</t>
  </si>
  <si>
    <t>08.09.2026 15:32:43</t>
  </si>
  <si>
    <t>Оплата за услуги связи по Договору № ИН-15-04 от 08.07.2015 10858-00 руб.
В т.ч. НДС (22%) 1958-00 руб.</t>
  </si>
  <si>
    <t>НЕОТРАНС- ХАКАСИЯ ООО</t>
  </si>
  <si>
    <t>СИ00-034365</t>
  </si>
  <si>
    <t>04.09.2026 5:57:28</t>
  </si>
  <si>
    <t>Оплата за субаренду гаража за Август 2026 по УПД № 452 от 31.08.2026г. Сумма 127776-00 руб.
В т.ч. НДС (22%) 23041-57 руб.</t>
  </si>
  <si>
    <t>Новосибирский филиал ПАО "Ростелеком"</t>
  </si>
  <si>
    <t>СИ00-034723</t>
  </si>
  <si>
    <t>07.09.2026 14:00:58</t>
  </si>
  <si>
    <t>Оплата за услуги связи по Договору № 654000186371 от 03.10.2022 (л/с 654000186371) 9761-40 руб. 
В т.ч. НДС (22%) 1760-25 руб.</t>
  </si>
  <si>
    <t>Новые мобильные коммуникации ООО (ИНН 7727443720)</t>
  </si>
  <si>
    <t>СИ00-035546</t>
  </si>
  <si>
    <t>11.09.2026 13:43:21</t>
  </si>
  <si>
    <t>Оплата за услуги связи по Договору № 2022/08-3619 от 24.10.2024 (л/с 3371828) за август 2026. 
В т.ч. НДС (22%) 140-66 руб.</t>
  </si>
  <si>
    <t>СИ00-035549</t>
  </si>
  <si>
    <t>11.09.2026 13:45:53</t>
  </si>
  <si>
    <t>Оплата за услуги связи по Договору № 2022/08-3619 от 24.10.2024 (л/с 2281408) за август 2026. 
В т.ч. НДС (22%) 54-10 руб.</t>
  </si>
  <si>
    <t>Партнеры Ноябрьск ООО</t>
  </si>
  <si>
    <t>СИ00-032539</t>
  </si>
  <si>
    <t>23.08.2026 22:00:32</t>
  </si>
  <si>
    <t>ДТ МУРМАНСК</t>
  </si>
  <si>
    <t>Предоплата за услуги по предоставлению питания сотрудников за сентябрь 2026г. Договор 03/КП-2022-140 от 16.02.2022г. 225 000- 00 руб.
в том числе НДС 40 573,77 руб.</t>
  </si>
  <si>
    <t>Шульга Алёна Владимировна</t>
  </si>
  <si>
    <t>Рабченко Марина Валерьевна</t>
  </si>
  <si>
    <t>СИ00-036223</t>
  </si>
  <si>
    <t>15.09.2026 13:57:15</t>
  </si>
  <si>
    <t>Оплата по Договор аренды жилого помещения от 24.04.2026 45000-00 руб.
Без налога (НДС)</t>
  </si>
  <si>
    <t>Синельникова Ксения Сергеевна</t>
  </si>
  <si>
    <t>Рассохина Ольга Николаевна</t>
  </si>
  <si>
    <t>СИ00-036222</t>
  </si>
  <si>
    <t>15.09.2026 13:56:17</t>
  </si>
  <si>
    <t>Оплата по Договор аренды жилого помещения от 12.03.2026 60000-00 руб.
Без налога (НДС)</t>
  </si>
  <si>
    <t>Ромахина Лариса Николаевна</t>
  </si>
  <si>
    <t>СИ00-034621</t>
  </si>
  <si>
    <t>07.09.2026 6:51:49</t>
  </si>
  <si>
    <t>Оплата по Договор Аренды жилого помещения б/н от 14.03.25г. август 2026. Сумма 25000-00 руб.
Без налога (НДС)</t>
  </si>
  <si>
    <t>Ростелеком (Хакасия)</t>
  </si>
  <si>
    <t>СИ00-034926</t>
  </si>
  <si>
    <t>08.09.2026 15:17:58</t>
  </si>
  <si>
    <t>Оплата за услуги связи по Договору № 624000145575 от 01.01.2019 (л/с 624000145575) за август 2026. 
В т.ч. НДС (22%) 373-51 руб.</t>
  </si>
  <si>
    <t>Ростелеком ОАО (Бурятия)</t>
  </si>
  <si>
    <t>СИ00-035539</t>
  </si>
  <si>
    <t>11.09.2026 13:25:34</t>
  </si>
  <si>
    <t>Оплата за услуги связи по Договору № 43000296 от 04.03.2011 (л/с 603005015718) за август 2026г. 
В т.ч. НДС (22%) 1830-89 руб.</t>
  </si>
  <si>
    <t>Ростелеком ОАО Кемеровский филиал</t>
  </si>
  <si>
    <t>СИ00-035105</t>
  </si>
  <si>
    <t>09.09.2026 22:00:18</t>
  </si>
  <si>
    <t>Оплата по договору №436162 от 15.08.2014 за услуги Интернет за Август 5547-71
В т.ч. НДС (22%) 1000-41 руб.</t>
  </si>
  <si>
    <t>Румянцева Дарья Рашидовна</t>
  </si>
  <si>
    <t>СИ00-036039</t>
  </si>
  <si>
    <t>15.09.2026 6:23:02</t>
  </si>
  <si>
    <t>Оплата по Договор аренды жилого помещения от 01.10.2024 (ДС №2) 50000-00 руб.
Без налога (НДС)</t>
  </si>
  <si>
    <t>РУСКАЙ ООО</t>
  </si>
  <si>
    <t>СИ00-034939</t>
  </si>
  <si>
    <t>08.09.2026 22:13:28</t>
  </si>
  <si>
    <t>Оплата за услуги связи по Договору № У-043/2019 от 01.10.2019 за август 2026. 
В т.ч. НДС (22%) 25664-98 руб.</t>
  </si>
  <si>
    <t>СИ00-034938</t>
  </si>
  <si>
    <t>08.09.2026 22:12:52</t>
  </si>
  <si>
    <t>Оплата за услуги связи по Договору № У-031/2019 от 01.03.2019 за август 2026. 
В т.ч. НДС (22%) 224726-62 руб.</t>
  </si>
  <si>
    <t>Садретинов Сафиулла Салимуллович</t>
  </si>
  <si>
    <t>СИ00-033886</t>
  </si>
  <si>
    <t>01.09.2026 14:26:28</t>
  </si>
  <si>
    <t>Оплата аренды квартиры за период с 06.09.2026 по 30.09.2026
Договор № 2 аренды жилого помещения от 06.09.2026 41667-00 руб.
Без налога (НДС)</t>
  </si>
  <si>
    <t>Иноземцева Марина Сергеевна</t>
  </si>
  <si>
    <t>ТАТТЕЛЕКОМ ПАО</t>
  </si>
  <si>
    <t>СИ00-036236</t>
  </si>
  <si>
    <t>15.09.2026 16:16:46</t>
  </si>
  <si>
    <t>Оплата за услуги связи по Договору ТС-100-32603 от 28.06.2022 (л/с 106469284) за август 2026.
В т.ч. НДС (22%) 5012-94 руб.</t>
  </si>
  <si>
    <t>Телегин Василий Владимирович</t>
  </si>
  <si>
    <t>СИ00-034617</t>
  </si>
  <si>
    <t>07.09.2026 6:44:30</t>
  </si>
  <si>
    <t>Оплата по Договор аренды жилого помещения б/н от 11.12.2023. За период с с 11.09.2026 по 10.10.2026. Сумма 30000-00 руб. 
Без налога НДС</t>
  </si>
  <si>
    <t>Устюжанин Сергей Олегович ИП</t>
  </si>
  <si>
    <t>СИ00-031603</t>
  </si>
  <si>
    <t>17.08.2026 11:55:30</t>
  </si>
  <si>
    <t>Оплата по Договору субаренды земельного участка № 27-12/24-1 от 27.12.2024 за Июль. Сумма 83422-50 руб.
В т.ч. НДС (5%) 3972-50 руб.</t>
  </si>
  <si>
    <t>Казанцев Андрей Геннадьевич</t>
  </si>
  <si>
    <t xml:space="preserve">Фарафонова Кристина Олеговна </t>
  </si>
  <si>
    <t>СИ00-035214</t>
  </si>
  <si>
    <t>10.09.2026 10:56:03</t>
  </si>
  <si>
    <t>ДТ БЕЛОГОРСК</t>
  </si>
  <si>
    <t>Оплата по Договор № 1 аренды жилого помещения от 24.08.2026 150968-00 руб.
Без налога (НДС)</t>
  </si>
  <si>
    <t>Катанаева Анастасия Андреевна</t>
  </si>
  <si>
    <t>Филимонова Анастасия Андреевна ИП</t>
  </si>
  <si>
    <t>СИ00-031608</t>
  </si>
  <si>
    <t>17.08.2026 12:09:58</t>
  </si>
  <si>
    <t>Оплата по договору №А5-07/18 от 06.08.2018 за аренду служебных помещений Июль. Сумма 113330-70 руб.
В т.ч. НДС (5%) 5396-70 руб.</t>
  </si>
  <si>
    <t>Ахтямов Эльдар Илгизович</t>
  </si>
  <si>
    <t>Центр хранения данных АО</t>
  </si>
  <si>
    <t>СИ00-034716</t>
  </si>
  <si>
    <t>07.09.2026 13:40:01</t>
  </si>
  <si>
    <t>Оплата по Счету №23099 от 01.09.2026г. к Договору № 1-013/24 от 28.12.2023г. 404588-15 руб.
В т.ч. НДС (22%) 72958-51 руб.</t>
  </si>
  <si>
    <t>ЭР-ТЕЛЕКОМ МОСКВА ООО</t>
  </si>
  <si>
    <t>СИ00-034521</t>
  </si>
  <si>
    <t>04.09.2026 12:41:04</t>
  </si>
  <si>
    <t>Оплата за услуги связи по Договору № 20069C2102 от 26.02.2021 (л/с 22031) за август 2026г. 
В т.ч. НДС (22%) 1440-88 руб.</t>
  </si>
  <si>
    <t>МТС РЕКЛАМНЫЕ ТЕХНОЛОГИИ АО</t>
  </si>
  <si>
    <t>СИ00-036237</t>
  </si>
  <si>
    <t>15.09.2026 16:55:58</t>
  </si>
  <si>
    <t>Оплата за услуги связи по л/с 277780811169 за июль 2026.
В т.ч. НДС (22%) 23780-02 руб.</t>
  </si>
  <si>
    <t>Аренда</t>
  </si>
  <si>
    <t>Питание</t>
  </si>
  <si>
    <t>Коммуналка</t>
  </si>
  <si>
    <t>Субаренда гаража</t>
  </si>
  <si>
    <t>Аренда помещений</t>
  </si>
  <si>
    <t>Фарафонова Кристина Олеговна</t>
  </si>
  <si>
    <t>Оплата масел и иных смазочных материалов 4121</t>
  </si>
  <si>
    <t>ГАЗПРОМНЕФТЬ -СМ ООО</t>
  </si>
  <si>
    <t>СИ00-029626</t>
  </si>
  <si>
    <t>05.08.2026 6:15:16</t>
  </si>
  <si>
    <t>Оплата по накладной №СМ-29315 от 21.07.2026 112331-01 руб.
В т.ч. НДС (22%) 20256-41 руб.</t>
  </si>
  <si>
    <t>Ванюкевич Лилия Владимировна</t>
  </si>
  <si>
    <t>СИ00-029623</t>
  </si>
  <si>
    <t>05.08.2026 6:03:43</t>
  </si>
  <si>
    <t>Оплата по накладной №СМ-28846 от 19.07.2026 130354-00 руб.
В т.ч. НДС (22%) 23506-46 руб.</t>
  </si>
  <si>
    <t>ЭКОТЕК ООО</t>
  </si>
  <si>
    <t>СИ00-035276</t>
  </si>
  <si>
    <t>10.09.2026 22:00:15</t>
  </si>
  <si>
    <t>Оплата по договору №172100-2024/ТКО от 25.10.2024 7840-50 руб. услуга по обращению с ТКО август 26г.
Без налога (НДС)</t>
  </si>
  <si>
    <t>Оплата поставщикам Аренда ТС 4121</t>
  </si>
  <si>
    <t>Славнефть-Красноярскнефтегаз ООО ОП Куюмба</t>
  </si>
  <si>
    <t>СИ00-036046</t>
  </si>
  <si>
    <t>15.09.2026 8:00:00</t>
  </si>
  <si>
    <t>Оплата по Договор аренды движимого имущества № В044024/0864Д от 01.09.2024 117340-34 руб.
В т.ч. НДС (22%) 21159-73 руб.</t>
  </si>
  <si>
    <t>Родина Анна Владимировна</t>
  </si>
  <si>
    <t>СИ00-029625</t>
  </si>
  <si>
    <t>05.08.2026 6:13:37</t>
  </si>
  <si>
    <t>Оплата по накладной №СМ-28463 от 13.07.2026 119458-01 руб.
В т.ч. НДС (22%) 21541-61 руб.</t>
  </si>
  <si>
    <t>Дальневосточная энергетическая компания ПАО (КПП 997650001)</t>
  </si>
  <si>
    <t>СИ00-036260</t>
  </si>
  <si>
    <t>16.09.2026 2:55:34</t>
  </si>
  <si>
    <t>ДТ СВОБОДНЫЙ</t>
  </si>
  <si>
    <t>Оплата по Договор электроснабжения № СВООЭ0000405 от 21.04.2022 1318-18 руб.
В т.ч. НДС (20%) 219-70 руб.</t>
  </si>
  <si>
    <t>Перфильева Екатерина Николаевна</t>
  </si>
  <si>
    <t>СИ00-029622</t>
  </si>
  <si>
    <t>05.08.2026 5:59:09</t>
  </si>
  <si>
    <t>Оплата по накладной №СМ-28826 от 17.07.2026 253665-06 руб.
В т.ч. НДС (22%) 45742-88 руб.</t>
  </si>
  <si>
    <t>Масла - (Непереносимые оплаты)</t>
  </si>
  <si>
    <t>Перелеты</t>
  </si>
  <si>
    <t>Обращение с ТКО</t>
  </si>
  <si>
    <t>Снидко Артём Андреевич ИП</t>
  </si>
  <si>
    <t>СИ00-034778</t>
  </si>
  <si>
    <t>08.09.2026 8:06:05</t>
  </si>
  <si>
    <t>Оплата по накладной №сд00007660 от 31.08.2026 50715-00 руб. Оплата парковки служебных ТС за август 2026г.
В т.ч. НДС (5%) 2415-00 руб.</t>
  </si>
  <si>
    <t>Надеина Любовь Валентиновна</t>
  </si>
  <si>
    <t>ИНСТРУМЕНТ-ЦЕНТР ООО</t>
  </si>
  <si>
    <t>СИ00-033220</t>
  </si>
  <si>
    <t>27.08.2026 12:53:50</t>
  </si>
  <si>
    <t>Оплата по накладной №ТН-5439 от 18.08.2026 4655-00 руб., накладной №ТН-5444 от 18.08.2026 2670-00 руб.
В т.ч. НДС (22%) 1320-91 руб.Материалы д/гаражной службы.</t>
  </si>
  <si>
    <t>Калачинская Надежда Ивановна</t>
  </si>
  <si>
    <t>ЮГОР АО</t>
  </si>
  <si>
    <t>СИ00-034385</t>
  </si>
  <si>
    <t>04.09.2026 7:11:09</t>
  </si>
  <si>
    <t>Оплата по накладной №3417 от 31.08.2026 7000-00 руб. Оплата аренды парковочных мест служебных ТС за август   2026г.
В т.ч. НДС (22%) 1262-30 руб.</t>
  </si>
  <si>
    <t>СИ00-033221</t>
  </si>
  <si>
    <t>27.08.2026 12:55:31</t>
  </si>
  <si>
    <t>Оплата по накладной №ТН-5594 от 26.08.2026 34414-00 руб.
В т.ч. НДС (22%) 6205-81 руб.Материалы д/гаражной сл.</t>
  </si>
  <si>
    <t>ЛОГИКА - СЕРВИС ООО</t>
  </si>
  <si>
    <t>СИ00-035342</t>
  </si>
  <si>
    <t>11.09.2026 5:52:35</t>
  </si>
  <si>
    <t>Оплата по Оплата по Спецификациям Договора №16/П/2013/С-И от 02.10.2013г ТУР(СИ) 17885-20 руб.
В т.ч. НДС (22%) 3225-20 руб.  9878 №М749МВ797 ТПУ</t>
  </si>
  <si>
    <t>СибНовоТех ООО</t>
  </si>
  <si>
    <t>СИ00-031885</t>
  </si>
  <si>
    <t>19.08.2026 5:07:13</t>
  </si>
  <si>
    <t>Оплата по Оплата по Спецификациям Договора поставки № 1143-18 от 18.10.2018 18047-46 руб.
В т.ч. НДС (22%) 3254-46 руб.  8750 ТС: демонтаж с Р905АО797 на С436ЕТ797 АК3 ВПУ</t>
  </si>
  <si>
    <t>Антипкин Вадим Викторович</t>
  </si>
  <si>
    <t>СИ00-030919</t>
  </si>
  <si>
    <t>12.08.2026 13:25:38</t>
  </si>
  <si>
    <t>Оплата по Оплата по Спецификациям Договора поставки № 1143-18 от 18.10.2018 11648-32 руб.
В т.ч. НДС (22%) 2100-52 руб.  8821 №С950АУ ТПУ</t>
  </si>
  <si>
    <t>ТМЦ</t>
  </si>
  <si>
    <t>АВТОСКЛАД ООО</t>
  </si>
  <si>
    <t>СИ00-016058</t>
  </si>
  <si>
    <t>30.04.2026 22:00:37</t>
  </si>
  <si>
    <t>Оплата по договору №СИ (Отсрочка 15 дней) от 22.08.2023 58950-00
В т.ч. НДС (22%) 10630-33 руб.</t>
  </si>
  <si>
    <t>Мамаев Валерий Николаевич</t>
  </si>
  <si>
    <t>СИ00-018214</t>
  </si>
  <si>
    <t>16.05.2026 22:00:13</t>
  </si>
  <si>
    <t>Оплата по договору №СИ (Отсрочка 15 дней) от 22.08.2023 128600-00
В т.ч. НДС (22%) 23190-15 руб.</t>
  </si>
  <si>
    <t>СИ00-021350</t>
  </si>
  <si>
    <t>09.06.2026 22:00:05</t>
  </si>
  <si>
    <t>Оплата по договору №СИ (Отсрочка 15 дней) от 22.08.2023 303500-00
В т.ч. НДС (22%) 54729-51 руб.</t>
  </si>
  <si>
    <t>АВТО-ТРЕЙД ООО</t>
  </si>
  <si>
    <t>СИ00-026548</t>
  </si>
  <si>
    <t>09.07.2026 8:40:03</t>
  </si>
  <si>
    <t>ДТ АПАТИТЫ</t>
  </si>
  <si>
    <t>Оплата по Договору № 2021/ОРГ-12345 поставки товаров (зап.части) от 27.05.2021 УПД № 990/5 от 09.07.2026 1026-00 руб.в т.ч. НДС (22%)  185,02 руб.</t>
  </si>
  <si>
    <t>Базанова Вера Анатольевна</t>
  </si>
  <si>
    <t>СИ00-027062</t>
  </si>
  <si>
    <t>15.07.2026 23:59:59</t>
  </si>
  <si>
    <t>Оплата за приобретение запчастей для ТС по накладной № 9081 от 15.07.2026 17088-00 руб.в т. ч. НДС 3081-44 руб.</t>
  </si>
  <si>
    <t>СИ00-027063</t>
  </si>
  <si>
    <t>Оплата за приобретение запчастей для ТС по накладной № 9082 от 15.07.2026 14851-00 руб.в т. ч. НДС 2678-05 руб.</t>
  </si>
  <si>
    <t>СИ00-027583</t>
  </si>
  <si>
    <t>22.07.2026 17:06:29</t>
  </si>
  <si>
    <t>Оплата за приобретение запчастей для ТС по накладной № 994/5 от 14.07.2026 3840-00 руб.в т. ч. НДС 692-46 руб.</t>
  </si>
  <si>
    <t>СИ00-029521</t>
  </si>
  <si>
    <t>04.08.2026 13:40:16</t>
  </si>
  <si>
    <t>Оплата за приобретение запчастей для ТС по накладной № 996/5 от 15.07.2026 22218-00 руб.в т. ч. НДС 4006-53 руб.</t>
  </si>
  <si>
    <t>СИ00-026649</t>
  </si>
  <si>
    <t>15.07.2026 12:19:33</t>
  </si>
  <si>
    <t>Оплата по Договору № 2021/ОРГ-12345 поставки товаров (зап.части) от 27.05.2021 УПД № 995/5 от 15.07.2026 6695-00 руб.в т.ч. НДС (22%)  1261,39 руб.</t>
  </si>
  <si>
    <t>СИ00-029524</t>
  </si>
  <si>
    <t>15.07.2026 13:59:01</t>
  </si>
  <si>
    <t>Оплата за приобретение запчастей для ТС по накладной №998/5 от 15.07.2026 39830-00 руб.в т. ч. НДС 7182-46 руб.</t>
  </si>
  <si>
    <t>СИ00-029359</t>
  </si>
  <si>
    <t>03.08.2026 15:41:32</t>
  </si>
  <si>
    <t>Оплата за приобретение запчастей для ТС по накладной № 9195 от 03.08.2026 19490-00 руб.в т. ч. НДС 3514-59 руб.</t>
  </si>
  <si>
    <t>СИ00-030947</t>
  </si>
  <si>
    <t>12.08.2026 15:03:39</t>
  </si>
  <si>
    <t>Оплата за приобретение запчастей для ТС по накладной № 9237 от 12.08.2026 13990-00 руб.в т. ч. НДС 2522-79 руб.</t>
  </si>
  <si>
    <t>СИ00-030943</t>
  </si>
  <si>
    <t>12.08.2026 14:53:37</t>
  </si>
  <si>
    <t>Оплата за приобретение запчастей для ТС по накладной № 9239 от 12.08.2026 11070,28 руб.в т. ч. НДС 1996,28 руб.</t>
  </si>
  <si>
    <t>СИ00-030949</t>
  </si>
  <si>
    <t>12.08.2026 15:10:35</t>
  </si>
  <si>
    <t>Оплата за приобретение запчастей для ТС по накладной № 9238 от 12.08.2026 24208-00 руб.в т. ч. НДС 4365-38 руб.</t>
  </si>
  <si>
    <t>СИ00-033420</t>
  </si>
  <si>
    <t>28.08.2026 15:01:44</t>
  </si>
  <si>
    <t>Оплата за приобретение запчастей для ТС по накладной № 9409 от 28.08.2026 24902-64 руб.в т. ч. НДС 4490,64 руб.</t>
  </si>
  <si>
    <t>СИ00-033561</t>
  </si>
  <si>
    <t>28.08.2026 23:59:59</t>
  </si>
  <si>
    <t>Оплата за приобретение запчастей для ТС по накладной № 9408 от 28.08.2026 42366-00 руб.в т. ч. НДС 7639-77 руб.</t>
  </si>
  <si>
    <t>СИ00-033421</t>
  </si>
  <si>
    <t>28.08.2026 15:05:23</t>
  </si>
  <si>
    <t>Оплата за приобретение запчастей для ТС по накладной № 9411 от 28.08.2026 57155-17 руб.в т. ч. НДС 10306-67 руб.</t>
  </si>
  <si>
    <t>БЕРКУТ ООО ЧОО</t>
  </si>
  <si>
    <t>СИ00-012189</t>
  </si>
  <si>
    <t>31.03.2026 23:59:59</t>
  </si>
  <si>
    <t>Оплата по накладной №340 от 31.03.2026 548238-72 руб.
В т.ч. НДС (22%) 98862-72 руб.</t>
  </si>
  <si>
    <t>Нагибина Марина Ивановна</t>
  </si>
  <si>
    <t>ДЕМИДОВ ООО</t>
  </si>
  <si>
    <t>СИ00-035156</t>
  </si>
  <si>
    <t>10.09.2026 9:35:44</t>
  </si>
  <si>
    <t>Оплата по Договор № 04/07-25 транспортной экспедиции от 04.06.2025 625000-00 руб. Счёт №195 от 13.05.2026
В т.ч. НДС (22%) 112704-92 руб.</t>
  </si>
  <si>
    <t>Деев Кирилл Сергеевич</t>
  </si>
  <si>
    <t>Оплата поставщикам Транспортные услуги 4121</t>
  </si>
  <si>
    <t>Енисейское речное пароходство АО</t>
  </si>
  <si>
    <t>СИ00-034223</t>
  </si>
  <si>
    <t>03.09.2026 9:40:37</t>
  </si>
  <si>
    <t xml:space="preserve">Оплата по Договор № ЕРП-2026/255 на организацию перевозок грузов от 08.04.2026 1914870-12 руб.
В т.ч. НДС (22%) 345304-45 руб.
</t>
  </si>
  <si>
    <t>КАРАВАН ООО (ИНН 4632253300)</t>
  </si>
  <si>
    <t>СИ00-034224</t>
  </si>
  <si>
    <t>03.09.2026 9:41:00</t>
  </si>
  <si>
    <t>ДТ ЖЕЛЕЗНОГОРСК</t>
  </si>
  <si>
    <t>Оплата по Договор № 82С оказания услуг (работ) по техническому обслуживанию и ремонту автомобилей от 17.04.2025 729354-80 руб.
В т.ч. НДС (22%) 131522-96 руб.</t>
  </si>
  <si>
    <t>Касьянова Любовь Вячеславовна</t>
  </si>
  <si>
    <t>КРАЕВОЙ УРАЛАВТОЦЕНТР ООО</t>
  </si>
  <si>
    <t>СИ00-029450</t>
  </si>
  <si>
    <t>04.08.2026 10:26:04</t>
  </si>
  <si>
    <t>Оплата по накладной №2026/07/20/001 от 20.07.2026 22300-00 руб.
В т.ч. НДС (22%) 4021-31 руб.</t>
  </si>
  <si>
    <t>Саранчин Алексей Петрович</t>
  </si>
  <si>
    <t>СИ00-033038</t>
  </si>
  <si>
    <t>27.08.2026 5:32:17</t>
  </si>
  <si>
    <t>Оплата по Оплата по Спецификациям Договора поставки № 12/П/2013/С-И 12345-00 руб.
В т.ч. НДС (22%) 2226-15 руб.  9417 №С834ТЕ124 ТПУ</t>
  </si>
  <si>
    <t>МАГЕЛАН ООО</t>
  </si>
  <si>
    <t>СИ00-020139</t>
  </si>
  <si>
    <t>01.06.2026 6:09:00</t>
  </si>
  <si>
    <t>ДТ ЮГРА</t>
  </si>
  <si>
    <t>Оплата за аренду помещения за июнь 2026г. по счету № 303 от 01.06.2026г.(Дог. аренды № 01/08/2025 от 01.08.2025) 382 500-00 руб.
Без налога НДС</t>
  </si>
  <si>
    <t>Сироткина Елена Сергеевна</t>
  </si>
  <si>
    <t>МСН ГРУП ГОРОДА МОСКВЫ АБ</t>
  </si>
  <si>
    <t>СИ00-019681</t>
  </si>
  <si>
    <t>27.05.2026 10:40:40</t>
  </si>
  <si>
    <t>Оплата по договору №МСН-СИ/2018 от 31.01.2018 250000-00
Без налога (НДС)</t>
  </si>
  <si>
    <t>Парамончев Павел Валерьевич</t>
  </si>
  <si>
    <t>СИ00-038305</t>
  </si>
  <si>
    <t>24.10.2025 23:57:01</t>
  </si>
  <si>
    <t>Оплата по договору №2025/01-47/СИ от 17.01.2025 329650-00
Без налога (НДС)</t>
  </si>
  <si>
    <t>Полевцов Александр Игоревич ИП</t>
  </si>
  <si>
    <t>СИ00-020867</t>
  </si>
  <si>
    <t>04.06.2026 22:01:10</t>
  </si>
  <si>
    <t>Оплата по договору №2512 от 25.12.2025 за поставку для ТО и ремонта служебных ТС. Сумма 132480-00
В т.ч. НДС (22%) 23889-87 руб.</t>
  </si>
  <si>
    <t>СЕММИТ ООО</t>
  </si>
  <si>
    <t>СИ00-023188</t>
  </si>
  <si>
    <t>23.06.2026 22:16:03</t>
  </si>
  <si>
    <t>Оплата по договору №179/25 от 17.09.2025 за поставку для ТО и ремонта служебных ТС. Сумма 2730-00
В т.ч. НДС (22%) 492-30 руб.</t>
  </si>
  <si>
    <t>СИ00-025000</t>
  </si>
  <si>
    <t>03.07.2026 22:00:16</t>
  </si>
  <si>
    <t>Оплата по договору №179/25 от 17.09.2025 за поставку для ТО и ремонта служебных ТС. Сумма 186315-90
В т.ч. НДС (22%) 33597-96 руб.</t>
  </si>
  <si>
    <t>СИБАВТОТРАНС ООО</t>
  </si>
  <si>
    <t>СИ00-032996</t>
  </si>
  <si>
    <t>26.08.2026 15:48:51</t>
  </si>
  <si>
    <t>Оплата по договору №САТ-49/2025 от 25.02.2025 501255-97
В т.ч. НДС (22%) 90390-42 руб.</t>
  </si>
  <si>
    <t>Ткачева Екатерина Ивановна</t>
  </si>
  <si>
    <t>СИБСПЕЦЗАЩИТА ООО</t>
  </si>
  <si>
    <t>СИ00-035153</t>
  </si>
  <si>
    <t>10.09.2026 9:35:00</t>
  </si>
  <si>
    <t>Оплата до договору  №ССЗ-25-20 от 09.12.2020г. за техническое обслуживание за Июль 2026г 114413-67руб
В т.ч. НДС (22%) 20631-97 руб.</t>
  </si>
  <si>
    <t>Украинский Сергей Владимирович</t>
  </si>
  <si>
    <t>СИ00-032428</t>
  </si>
  <si>
    <t>21.08.2026 22:00:28</t>
  </si>
  <si>
    <t>Оплата по договору №02/26 от 01.01.2026 за ТО и ремонт ОПС в июле 2026г. 90000-00 руб.
В т.ч. НДС (22%) 16229-51 руб.</t>
  </si>
  <si>
    <t>СИ00-003975</t>
  </si>
  <si>
    <t>05.02.2026 22:16:08</t>
  </si>
  <si>
    <t>Оплата до договору  №ССЗ-25-20 от 09.12.2020г. за техническое обслуживание за Январь 2026г  273512-18руб.
В т.ч. НДС (22%) 49321-87 руб.</t>
  </si>
  <si>
    <t>СПЕКТР ООО (ИНН 7206029503)</t>
  </si>
  <si>
    <t>СИ00-020311</t>
  </si>
  <si>
    <t>02.06.2026 6:11:37</t>
  </si>
  <si>
    <t>Оплата по накладной №335 от 29.05.2026 13400-00 руб.
Без налога (НДС) абонентское обслуживание</t>
  </si>
  <si>
    <t>Попова Ирина Николаевна</t>
  </si>
  <si>
    <t>СИ00-024848</t>
  </si>
  <si>
    <t>03.07.2026 7:06:53</t>
  </si>
  <si>
    <t>Оплата по накладной №445 от 30.06.2026 13400-00 руб.
Без налога (НДС) абонентское обслуживание</t>
  </si>
  <si>
    <t>СИ00-029770</t>
  </si>
  <si>
    <t>05.08.2026 14:38:16</t>
  </si>
  <si>
    <t>Оплата по накладной №508 от 31.07.2026 13400-00 руб.
Без налога (НДС) абонентское обслуживание</t>
  </si>
  <si>
    <t>СТАРЕКС ООО</t>
  </si>
  <si>
    <t>СИ00-028520</t>
  </si>
  <si>
    <t>28.07.2026 22:00:11</t>
  </si>
  <si>
    <t>Оплата по договору № от 26.01.2026 101382-00
В т.ч. НДС (22%) 18282-00 руб.</t>
  </si>
  <si>
    <t>Ермакова Татьяна Александровна</t>
  </si>
  <si>
    <t>ТЕХНОСТАР ООО</t>
  </si>
  <si>
    <t>СИ00-025419</t>
  </si>
  <si>
    <t>07.07.2026 22:01:24</t>
  </si>
  <si>
    <t>ДТ ТОМСК</t>
  </si>
  <si>
    <t>Оплата по договору №ТС-СИ-Т 01/2025  от 13.01.2025 9392-00
В т.ч. НДС (22%) 1693-64 руб.</t>
  </si>
  <si>
    <t>Рахматуллин Ринат Рамильевич</t>
  </si>
  <si>
    <t>СИ00-026741</t>
  </si>
  <si>
    <t>16.07.2026 7:21:09</t>
  </si>
  <si>
    <t>Оплата по Спецификациям Договора поставки 11/06-25-ТС-СИ от 01.07.2025 за запчасти для служебных ТС 4600-00р
В т.ч. НДС (22%)829-51р</t>
  </si>
  <si>
    <t>Леонов Михаил Юрьевич</t>
  </si>
  <si>
    <t>СИ00-022992</t>
  </si>
  <si>
    <t>22.06.2026 7:25:01</t>
  </si>
  <si>
    <t>Оплата по накладной №58 от 15.06.2026 81000-00 руб.
В т.ч. НДС (22%) 14606-56 руб.З/части д/сл. авто.</t>
  </si>
  <si>
    <t>СИ00-027123</t>
  </si>
  <si>
    <t>18.07.2026 22:00:16</t>
  </si>
  <si>
    <t>Оплата по договору №ТС-СИ-Т 01/2025  от 13.01.2025 10623-00
В т.ч. НДС (22%) 1915-62 руб.</t>
  </si>
  <si>
    <t>СИ00-027645</t>
  </si>
  <si>
    <t>23.07.2026 9:30:06</t>
  </si>
  <si>
    <t>Оплата по накладной №63 от 29.06.2026 4000-00 руб., накладной №64 от 29.06.2026 4840-00 руб.
В т.ч. НДС (22%) 1594-10 руб.З/части д/сл. авто.</t>
  </si>
  <si>
    <t>СИ00-030698</t>
  </si>
  <si>
    <t>11.08.2026 22:01:18</t>
  </si>
  <si>
    <t>Оплата по договору №2022/12-10/СИ от 22.12.2022 55550-00
В т.ч. НДС (22%) 10017-21 руб.</t>
  </si>
  <si>
    <t>СИ00-032802</t>
  </si>
  <si>
    <t>25.08.2026 22:00:56</t>
  </si>
  <si>
    <t>Оплата по договору №2022/12-10/СИ от 22.12.2022 за поставку для ТО и ремонта служебных ТС. Сумма 46000-00
В т.ч. НДС (22%) 8295-08 руб.</t>
  </si>
  <si>
    <t>ЦЕНТР-ДИЗЕЛЬ ООО</t>
  </si>
  <si>
    <t>СИ00-027383</t>
  </si>
  <si>
    <t>21.07.2026 22:00:22</t>
  </si>
  <si>
    <t>Оплата по договору № от 15.09.2025 77690-29
В т.ч. НДС (22%) 14009-71 руб.</t>
  </si>
  <si>
    <t>СИ00-028526</t>
  </si>
  <si>
    <t>28.07.2026 22:00:40</t>
  </si>
  <si>
    <t>Оплата по договору № от 15.09.2025 52870-99
В т.ч. НДС (22%) 9534-12 руб.</t>
  </si>
  <si>
    <t>СИ00-029100</t>
  </si>
  <si>
    <t>01.08.2026 22:00:02</t>
  </si>
  <si>
    <t>Оплата по договору № от 15.09.2025 50938-90
В т.ч. НДС (22%) 9185-70 руб.</t>
  </si>
  <si>
    <t>СИ00-019011</t>
  </si>
  <si>
    <t>22.05.2026 6:53:22</t>
  </si>
  <si>
    <t>Оплата по договору ЦЭРиА/120-2025 от 21.11.2025 выполнение работ по I, II, III, VIII, IX, X и XI этапам договора, согласно УПД № 05-0057 от 21.05.2026 г. 
Окончательный расчет  54 614,50  НДС (5%) 2600,69.</t>
  </si>
  <si>
    <t>Транспортная экспедиция</t>
  </si>
  <si>
    <t>Перевозка грузов</t>
  </si>
  <si>
    <t>Аудиторы</t>
  </si>
  <si>
    <t>Услуги спецтехники</t>
  </si>
  <si>
    <t>Тех обслуживание пожарной сигнализации</t>
  </si>
  <si>
    <t>Экологическое обслуживание</t>
  </si>
  <si>
    <t>Оплата за государственные пошлины, штрафы, исполнительные производства 4129</t>
  </si>
  <si>
    <t>УФК по Нижегородской области (Павловское РОСП ГУ ФССП по Нижегородской области, л/с 05321845290)</t>
  </si>
  <si>
    <t>СИ00-036432</t>
  </si>
  <si>
    <t>16.09.2026 10:53:45</t>
  </si>
  <si>
    <t xml:space="preserve">Оплата по постановлению об обращении взыскания на дебиторскую  задолженность от 16.06.2026 в рамках испол.производства 28340/26/52040-ИП от 21.01.2026 в отношении ООО"СОЮЗ-ЭНЕРГО"/УИН32252040260028340006
</t>
  </si>
  <si>
    <t>Миненков Андрей Юрьевич</t>
  </si>
  <si>
    <t>Оплата поставщикам Перелеты и тревел-поставщики 4121</t>
  </si>
  <si>
    <t>РАТЕЛ АВИАСЕРВИС ООО</t>
  </si>
  <si>
    <t>СИ00-027739</t>
  </si>
  <si>
    <t>24.07.2026 5:51:27</t>
  </si>
  <si>
    <t>Оплата по счету № 15349 от 23 июля 2026 г.
Агентский договор № ДА-25/47 по организации перевозок пассажиров от 18.12.2024 516000-00 руб.
Без налога (НДС)</t>
  </si>
  <si>
    <t>АЛЬТАИР ООО (ИНН 6150056780)</t>
  </si>
  <si>
    <t>СИ00-034965</t>
  </si>
  <si>
    <t>09.09.2026 5:11:02</t>
  </si>
  <si>
    <t xml:space="preserve">Оплата по Счет №М28440 от 01.09.26г Поверка тахографа на 6 ТС
Сумма 18 000-00руб
В т.ч. НДС(5%) 857-14руб
</t>
  </si>
  <si>
    <t>ДАЛЬМЕД ООО</t>
  </si>
  <si>
    <t>СИ00-035131</t>
  </si>
  <si>
    <t>10.09.2026 8:01:02</t>
  </si>
  <si>
    <t>Оплата по акту №1230 от 31.08.2026 124178-00 руб.
Соглашение о передаче Договора № 78 на оказание медицинских услуг во врачебной амбулатории от 14.11.2022
Без налога (НДС)</t>
  </si>
  <si>
    <t>СИ00-035133</t>
  </si>
  <si>
    <t>10.09.2026 8:10:09</t>
  </si>
  <si>
    <t>Оплата по с/ф № 1231 от 31.08.2026 г
Соглашение о передаче Договора № 81/23 оказания услуг по проведению тестирования на коровирусную инфекцию от 10.03.2023 1400-00 руб.
Без налога (НДС)</t>
  </si>
  <si>
    <t>СИ00-034201</t>
  </si>
  <si>
    <t>03.09.2026 8:33:42</t>
  </si>
  <si>
    <t>Оплата по счету № 18824 от 02 сентября 2026 г.
Агентский договор № ДА-25/47 по организации перевозок пассажиров от 18.12.2024 26000-00 руб.
Без налога (НДС)</t>
  </si>
  <si>
    <t>РН-Ванкор ООО</t>
  </si>
  <si>
    <t>СИ00-036332</t>
  </si>
  <si>
    <t>16.09.2026 8:14:09</t>
  </si>
  <si>
    <t xml:space="preserve">Оплата по Договор № В066023/4236Д на оказание услуг хранения ТМЦ и на выполнение погрузочно-разгрузочных работ от 24.11.2024  80000-00 руб.
В т.ч. НДС (22%) 14426-23 руб.  Аванс по договору № В066023/4236Д </t>
  </si>
  <si>
    <t>СИ00-033245</t>
  </si>
  <si>
    <t>27.08.2026 17:36:48</t>
  </si>
  <si>
    <t>Оплата по Договор № 5398м на оказание услуг по обучению от 03.09.2025 по счету №11 от 19.08.2026 на сумму 125174-35 руб.
Без налога (НДС)</t>
  </si>
  <si>
    <t>Спец Ремонт 24 ООО</t>
  </si>
  <si>
    <t>СИ00-034061</t>
  </si>
  <si>
    <t>02.09.2026 11:27:50</t>
  </si>
  <si>
    <t xml:space="preserve">"Предоплата за ремонт ДВС KUBOTA по счету №53 от 28.08.2026" </t>
  </si>
  <si>
    <t>СИ00-034055</t>
  </si>
  <si>
    <t>02.09.2026 11:15:54</t>
  </si>
  <si>
    <t>Оплата по Договор № СР24-5 на оказание услуг по ремонту агрегата/ТС от 15.04.2026 194349-80 руб.
В т.ч. НДС (22%) 35046-69 руб.</t>
  </si>
  <si>
    <t>ГК АВАНГАРД СЭЙФЕТИ ООО</t>
  </si>
  <si>
    <t>СИ00-033383</t>
  </si>
  <si>
    <t>28.08.2026 11:47:45</t>
  </si>
  <si>
    <t>Предоплата по Спецификациям Договора поставки № 162 от 22.04.2021 за спецодежду для сотрудников 38887-50 руб.
В т.ч. НДС (22%) 7012-50 руб.</t>
  </si>
  <si>
    <t>ФИРМА ТЕХНОАВИА ПВ ООО</t>
  </si>
  <si>
    <t>СИ00-035555</t>
  </si>
  <si>
    <t>11.09.2026 14:49:42</t>
  </si>
  <si>
    <t>Предоплата по Спецификациям Договора поставки № 22 от 29.03.2018 за спецодежду для сотрудников 445472-02 руб.
В т.ч. НДС (22%) 80331-02 руб.</t>
  </si>
  <si>
    <t>АВАНГАРД АВТО ООО</t>
  </si>
  <si>
    <t>СИ00-032381</t>
  </si>
  <si>
    <t>21.08.2026 12:47:18</t>
  </si>
  <si>
    <t>Оплата по накладной №485 от 28.07.2026 10500-00 руб.
В т.ч. НДС (22%) 1893-44 руб.З/части д/сл. авто.</t>
  </si>
  <si>
    <t>СИ00-027452</t>
  </si>
  <si>
    <t>22.07.2026 9:19:15</t>
  </si>
  <si>
    <t>Оплата по накладной №450 от 16.07.2026 1920-00 руб., накладной №457 от 20.07.2026 8550-00 руб., накладной №445 от 14.07.2026 5600-00 руб....
В т.ч. НДС (22%) 5968-86 руб.З/части д/сл. авто.</t>
  </si>
  <si>
    <t>СИ00-020626</t>
  </si>
  <si>
    <t>03.06.2026 13:33:45</t>
  </si>
  <si>
    <t>Оплата по накладной №349 от 01.06.2026 19200-00 руб., накладной №350 от 01.06.2026 18900-00 руб., накладной №351 от 01.06.2026 17920-00 руб....
В т.ч. НДС (22%) 14126-89 руб..З/части д/сл. авто.</t>
  </si>
  <si>
    <t>СИ00-032378</t>
  </si>
  <si>
    <t>21.08.2026 12:45:34</t>
  </si>
  <si>
    <t>Оплата по накладной №476 от 23.07.2026 1380-00 руб., накладной №475 от 23.07.2026 7600-00 руб.
В т.ч. НДС (22%) 1619-35 руб.З/части д/сл. авто.</t>
  </si>
  <si>
    <t>СИ00-032383</t>
  </si>
  <si>
    <t>21.08.2026 12:49:09</t>
  </si>
  <si>
    <t>Оплата по накладной №487 от 30.07.2026 9000-00 руб., накладной №489 от 31.07.2026 24300-00 руб.
В т.ч. НДС (22%) 6004-92 руб.З/части д/сл. авто.</t>
  </si>
  <si>
    <t>СИ00-020623</t>
  </si>
  <si>
    <t>03.06.2026 13:30:05</t>
  </si>
  <si>
    <t>Оплата по накладной №317 от 20.05.2026 11660-00 руб., накладной №318 от 20.05.2026 10770-00 руб., накладной №319 от 20.05.2026 23900-00 руб....
В т.ч. НДС (22%) 14414-53 руб.З/части д/сл. авто.</t>
  </si>
  <si>
    <t>СИ00-020621</t>
  </si>
  <si>
    <t>03.06.2026 13:27:38</t>
  </si>
  <si>
    <t>Оплата по накладной №279 от 06.05.2026 1120-00 руб., накладной №279 от 06.05.2026 70760-00 руб., накладной №280 от 06.05.2026 18650-00 руб.
В т.ч. НДС (22%) 16325-08 руб..З/части д/сл. авто.</t>
  </si>
  <si>
    <t>СИ00-032296</t>
  </si>
  <si>
    <t>21.08.2026 8:50:02</t>
  </si>
  <si>
    <t>Оплата по накладной №459 от 21.07.2026 42900-00 руб., накладной №460 от 21.07.2026 5200-00 руб.
В т.ч. НДС (22%) 8673-77 руб. З/части д/сл. авто.</t>
  </si>
  <si>
    <t>Поверка тахографов</t>
  </si>
  <si>
    <t>Погрузочно-разгрузочные работы</t>
  </si>
  <si>
    <t>ТО и ремонты</t>
  </si>
  <si>
    <t>Оплата в адрес пристава (СОЮЗ-ЭНЕРГО)</t>
  </si>
  <si>
    <t>Тахографы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</si>
</sst>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name val="Arial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3" fillId="0" borderId="1" xfId="2" applyFont="1" applyBorder="1" applyAlignment="1">
      <alignment vertical="top" wrapText="1"/>
    </xf>
    <xf numFmtId="4" fontId="3" fillId="0" borderId="1" xfId="2" applyNumberFormat="1" applyFont="1" applyBorder="1" applyAlignment="1">
      <alignment horizontal="right" vertical="top"/>
    </xf>
    <xf numFmtId="0" fontId="6" fillId="0" borderId="1" xfId="2" applyFont="1" applyBorder="1" applyAlignment="1">
      <alignment vertical="top" wrapText="1"/>
    </xf>
    <xf numFmtId="4" fontId="6" fillId="0" borderId="1" xfId="2" applyNumberFormat="1" applyFont="1" applyBorder="1" applyAlignment="1">
      <alignment horizontal="right" vertical="top"/>
    </xf>
    <xf numFmtId="2" fontId="6" fillId="0" borderId="1" xfId="2" applyNumberFormat="1" applyFont="1" applyBorder="1" applyAlignment="1">
      <alignment horizontal="right" vertical="top"/>
    </xf>
    <xf numFmtId="14" fontId="6" fillId="0" borderId="1" xfId="2" applyNumberFormat="1" applyFont="1" applyBorder="1" applyAlignment="1">
      <alignment vertical="top" wrapText="1"/>
    </xf>
    <xf numFmtId="4" fontId="6" fillId="3" borderId="1" xfId="2" applyNumberFormat="1" applyFont="1" applyFill="1" applyBorder="1" applyAlignment="1">
      <alignment horizontal="right" vertical="top"/>
    </xf>
    <xf numFmtId="0" fontId="0" fillId="0" borderId="0" xfId="0"/>
    <xf numFmtId="4" fontId="0" fillId="0" borderId="0" xfId="0" applyNumberFormat="1"/>
    <xf numFmtId="0" fontId="6" fillId="0" borderId="1" xfId="14" applyFont="1" applyBorder="1" applyAlignment="1">
      <alignment vertical="top" wrapText="1"/>
    </xf>
    <xf numFmtId="4" fontId="6" fillId="0" borderId="1" xfId="14" applyNumberFormat="1" applyFont="1" applyBorder="1" applyAlignment="1">
      <alignment horizontal="right" vertical="top"/>
    </xf>
    <xf numFmtId="0" fontId="8" fillId="4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4" fontId="0" fillId="5" borderId="2" xfId="0" applyNumberFormat="1" applyFill="1" applyBorder="1" applyAlignment="1">
      <alignment horizontal="right"/>
    </xf>
    <xf numFmtId="0" fontId="9" fillId="6" borderId="2" xfId="0" applyFont="1" applyFill="1" applyBorder="1"/>
    <xf numFmtId="4" fontId="9" fillId="6" borderId="2" xfId="0" applyNumberFormat="1" applyFont="1" applyFill="1" applyBorder="1" applyAlignment="1">
      <alignment horizontal="right"/>
    </xf>
    <xf numFmtId="0" fontId="0" fillId="6" borderId="2" xfId="0" applyFill="1" applyBorder="1"/>
    <xf numFmtId="0" fontId="7" fillId="0" borderId="0" xfId="0" applyFont="1"/>
    <xf numFmtId="0" fontId="0" fillId="0" borderId="0" xfId="0"/>
  </cellXfs>
  <cellStyles count="15">
    <cellStyle name="Обычный" xfId="0" builtinId="0"/>
    <cellStyle name="Обычный 10" xfId="13" xr:uid="{00000000-0005-0000-0000-00000D000000}"/>
    <cellStyle name="Обычный 2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5" xfId="6" xr:uid="{00000000-0005-0000-0000-000006000000}"/>
    <cellStyle name="Обычный 6" xfId="7" xr:uid="{00000000-0005-0000-0000-000007000000}"/>
    <cellStyle name="Обычный 7" xfId="8" xr:uid="{00000000-0005-0000-0000-000008000000}"/>
    <cellStyle name="Обычный 8" xfId="9" xr:uid="{00000000-0005-0000-0000-000009000000}"/>
    <cellStyle name="Обычный 9" xfId="10" xr:uid="{00000000-0005-0000-0000-00000A000000}"/>
    <cellStyle name="Обычный_Источник" xfId="2" xr:uid="{00000000-0005-0000-0000-000002000000}"/>
    <cellStyle name="Обычный_Источник 26" xfId="1" xr:uid="{00000000-0005-0000-0000-000001000000}"/>
    <cellStyle name="Обычный_Филиалы" xfId="14" xr:uid="{00000000-0005-0000-0000-00000E000000}"/>
    <cellStyle name="Финансовый 2" xfId="11" xr:uid="{00000000-0005-0000-0000-00000B000000}"/>
    <cellStyle name="Финансовый 3" xfId="12" xr:uid="{00000000-0005-0000-0000-00000C000000}"/>
  </cellStyles>
  <dxfs count="4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"/>
  <sheetViews>
    <sheetView topLeftCell="B49" zoomScale="85" zoomScaleNormal="85" workbookViewId="0">
      <selection activeCell="J64" sqref="J64"/>
    </sheetView>
  </sheetViews>
  <sheetFormatPr defaultRowHeight="15" x14ac:dyDescent="0.25"/>
  <cols>
    <col min="1" max="1" width="61.5703125" style="9" bestFit="1" customWidth="1"/>
    <col min="2" max="12" width="20.28515625" style="9" customWidth="1"/>
    <col min="13" max="13" width="9.5703125" style="9" bestFit="1" customWidth="1"/>
    <col min="14" max="14" width="10.28515625" style="9" bestFit="1" customWidth="1"/>
    <col min="15" max="15" width="11.85546875" style="9" bestFit="1" customWidth="1"/>
    <col min="16" max="16" width="12.7109375" style="9" bestFit="1" customWidth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t="15.75" customHeight="1" x14ac:dyDescent="0.25">
      <c r="A2" s="4" t="s">
        <v>12</v>
      </c>
      <c r="B2" s="5">
        <v>10185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7">
        <v>46273</v>
      </c>
      <c r="L2" s="4" t="s">
        <v>21</v>
      </c>
      <c r="M2" t="e">
        <f>MATCH(D:D,'Оплаты в рамках 100 т.р.'!D:D,0)</f>
        <v>#N/A</v>
      </c>
    </row>
    <row r="3" spans="1:13" ht="15.75" customHeight="1" x14ac:dyDescent="0.25">
      <c r="A3" s="4" t="s">
        <v>12</v>
      </c>
      <c r="B3" s="5">
        <v>16500</v>
      </c>
      <c r="C3" s="4" t="s">
        <v>22</v>
      </c>
      <c r="D3" s="4" t="s">
        <v>23</v>
      </c>
      <c r="E3" s="4" t="s">
        <v>24</v>
      </c>
      <c r="F3" s="4" t="s">
        <v>16</v>
      </c>
      <c r="G3" s="4" t="s">
        <v>17</v>
      </c>
      <c r="H3" s="4" t="s">
        <v>25</v>
      </c>
      <c r="I3" s="4" t="s">
        <v>19</v>
      </c>
      <c r="J3" s="4" t="s">
        <v>26</v>
      </c>
      <c r="K3" s="7">
        <v>46218</v>
      </c>
      <c r="L3" s="4" t="s">
        <v>27</v>
      </c>
      <c r="M3" t="e">
        <f>MATCH(D:D,'Оплаты в рамках 100 т.р.'!D:D,0)</f>
        <v>#N/A</v>
      </c>
    </row>
    <row r="4" spans="1:13" ht="15.75" customHeight="1" x14ac:dyDescent="0.25">
      <c r="A4" s="4" t="s">
        <v>12</v>
      </c>
      <c r="B4" s="5">
        <v>11000</v>
      </c>
      <c r="C4" s="4" t="s">
        <v>22</v>
      </c>
      <c r="D4" s="4" t="s">
        <v>28</v>
      </c>
      <c r="E4" s="4" t="s">
        <v>29</v>
      </c>
      <c r="F4" s="4" t="s">
        <v>16</v>
      </c>
      <c r="G4" s="4" t="s">
        <v>17</v>
      </c>
      <c r="H4" s="4" t="s">
        <v>25</v>
      </c>
      <c r="I4" s="4" t="s">
        <v>19</v>
      </c>
      <c r="J4" s="4" t="s">
        <v>30</v>
      </c>
      <c r="K4" s="7">
        <v>46253</v>
      </c>
      <c r="L4" s="4" t="s">
        <v>27</v>
      </c>
      <c r="M4" t="e">
        <f>MATCH(D:D,'Оплаты в рамках 100 т.р.'!D:D,0)</f>
        <v>#N/A</v>
      </c>
    </row>
    <row r="5" spans="1:13" ht="15.75" customHeight="1" x14ac:dyDescent="0.25">
      <c r="A5" s="4" t="s">
        <v>12</v>
      </c>
      <c r="B5" s="5">
        <v>46500</v>
      </c>
      <c r="C5" s="4" t="s">
        <v>22</v>
      </c>
      <c r="D5" s="4" t="s">
        <v>31</v>
      </c>
      <c r="E5" s="4" t="s">
        <v>32</v>
      </c>
      <c r="F5" s="4" t="s">
        <v>16</v>
      </c>
      <c r="G5" s="4" t="s">
        <v>17</v>
      </c>
      <c r="H5" s="4" t="s">
        <v>25</v>
      </c>
      <c r="I5" s="4" t="s">
        <v>19</v>
      </c>
      <c r="J5" s="4" t="s">
        <v>33</v>
      </c>
      <c r="K5" s="7">
        <v>46240</v>
      </c>
      <c r="L5" s="4" t="s">
        <v>27</v>
      </c>
      <c r="M5" t="e">
        <f>MATCH(D:D,'Оплаты в рамках 100 т.р.'!D:D,0)</f>
        <v>#N/A</v>
      </c>
    </row>
    <row r="6" spans="1:13" ht="15.75" customHeight="1" x14ac:dyDescent="0.25">
      <c r="A6" s="4" t="s">
        <v>12</v>
      </c>
      <c r="B6" s="5">
        <v>18500</v>
      </c>
      <c r="C6" s="4" t="s">
        <v>22</v>
      </c>
      <c r="D6" s="4" t="s">
        <v>34</v>
      </c>
      <c r="E6" s="4" t="s">
        <v>35</v>
      </c>
      <c r="F6" s="4" t="s">
        <v>16</v>
      </c>
      <c r="G6" s="4" t="s">
        <v>17</v>
      </c>
      <c r="H6" s="4" t="s">
        <v>25</v>
      </c>
      <c r="I6" s="4" t="s">
        <v>19</v>
      </c>
      <c r="J6" s="4" t="s">
        <v>36</v>
      </c>
      <c r="K6" s="7">
        <v>46230</v>
      </c>
      <c r="L6" s="4" t="s">
        <v>27</v>
      </c>
      <c r="M6" t="e">
        <f>MATCH(D:D,'Оплаты в рамках 100 т.р.'!D:D,0)</f>
        <v>#N/A</v>
      </c>
    </row>
    <row r="7" spans="1:13" ht="15.75" customHeight="1" x14ac:dyDescent="0.25">
      <c r="A7" s="4" t="s">
        <v>12</v>
      </c>
      <c r="B7" s="5">
        <v>12500</v>
      </c>
      <c r="C7" s="4" t="s">
        <v>37</v>
      </c>
      <c r="D7" s="4" t="s">
        <v>38</v>
      </c>
      <c r="E7" s="4" t="s">
        <v>39</v>
      </c>
      <c r="F7" s="4" t="s">
        <v>16</v>
      </c>
      <c r="G7" s="4" t="s">
        <v>17</v>
      </c>
      <c r="H7" s="4" t="s">
        <v>25</v>
      </c>
      <c r="I7" s="4" t="s">
        <v>19</v>
      </c>
      <c r="J7" s="4" t="s">
        <v>40</v>
      </c>
      <c r="K7" s="7">
        <v>46254</v>
      </c>
      <c r="L7" s="4" t="s">
        <v>41</v>
      </c>
      <c r="M7" t="e">
        <f>MATCH(D:D,'Оплаты в рамках 100 т.р.'!D:D,0)</f>
        <v>#N/A</v>
      </c>
    </row>
    <row r="8" spans="1:13" ht="15.75" customHeight="1" x14ac:dyDescent="0.25">
      <c r="A8" s="4" t="s">
        <v>12</v>
      </c>
      <c r="B8" s="5">
        <v>32000</v>
      </c>
      <c r="C8" s="4" t="s">
        <v>42</v>
      </c>
      <c r="D8" s="4" t="s">
        <v>43</v>
      </c>
      <c r="E8" s="4" t="s">
        <v>44</v>
      </c>
      <c r="F8" s="4" t="s">
        <v>16</v>
      </c>
      <c r="G8" s="4" t="s">
        <v>17</v>
      </c>
      <c r="H8" s="4" t="s">
        <v>45</v>
      </c>
      <c r="I8" s="4" t="s">
        <v>19</v>
      </c>
      <c r="J8" s="4" t="s">
        <v>46</v>
      </c>
      <c r="K8" s="7">
        <v>46274</v>
      </c>
      <c r="L8" s="4" t="s">
        <v>47</v>
      </c>
      <c r="M8" t="e">
        <f>MATCH(D:D,'Оплаты в рамках 100 т.р.'!D:D,0)</f>
        <v>#N/A</v>
      </c>
    </row>
    <row r="9" spans="1:13" ht="15.75" customHeight="1" x14ac:dyDescent="0.25">
      <c r="A9" s="4" t="s">
        <v>12</v>
      </c>
      <c r="B9" s="5">
        <v>32000</v>
      </c>
      <c r="C9" s="4" t="s">
        <v>42</v>
      </c>
      <c r="D9" s="4" t="s">
        <v>48</v>
      </c>
      <c r="E9" s="4" t="s">
        <v>49</v>
      </c>
      <c r="F9" s="4" t="s">
        <v>16</v>
      </c>
      <c r="G9" s="4" t="s">
        <v>17</v>
      </c>
      <c r="H9" s="4" t="s">
        <v>45</v>
      </c>
      <c r="I9" s="4" t="s">
        <v>19</v>
      </c>
      <c r="J9" s="4" t="s">
        <v>50</v>
      </c>
      <c r="K9" s="7">
        <v>46273</v>
      </c>
      <c r="L9" s="4" t="s">
        <v>47</v>
      </c>
      <c r="M9" t="e">
        <f>MATCH(D:D,'Оплаты в рамках 100 т.р.'!D:D,0)</f>
        <v>#N/A</v>
      </c>
    </row>
    <row r="10" spans="1:13" ht="15.75" customHeight="1" x14ac:dyDescent="0.25">
      <c r="A10" s="4" t="s">
        <v>12</v>
      </c>
      <c r="B10" s="5">
        <v>16500</v>
      </c>
      <c r="C10" s="4" t="s">
        <v>42</v>
      </c>
      <c r="D10" s="4" t="s">
        <v>51</v>
      </c>
      <c r="E10" s="4" t="s">
        <v>52</v>
      </c>
      <c r="F10" s="4" t="s">
        <v>16</v>
      </c>
      <c r="G10" s="4" t="s">
        <v>17</v>
      </c>
      <c r="H10" s="4" t="s">
        <v>53</v>
      </c>
      <c r="I10" s="4" t="s">
        <v>19</v>
      </c>
      <c r="J10" s="4" t="s">
        <v>54</v>
      </c>
      <c r="K10" s="7">
        <v>46273</v>
      </c>
      <c r="L10" s="4" t="s">
        <v>55</v>
      </c>
      <c r="M10" t="e">
        <f>MATCH(D:D,'Оплаты в рамках 100 т.р.'!D:D,0)</f>
        <v>#N/A</v>
      </c>
    </row>
    <row r="11" spans="1:13" ht="15.75" customHeight="1" x14ac:dyDescent="0.25">
      <c r="A11" s="4" t="s">
        <v>12</v>
      </c>
      <c r="B11" s="5">
        <v>22000</v>
      </c>
      <c r="C11" s="4" t="s">
        <v>42</v>
      </c>
      <c r="D11" s="4" t="s">
        <v>56</v>
      </c>
      <c r="E11" s="4" t="s">
        <v>57</v>
      </c>
      <c r="F11" s="4" t="s">
        <v>16</v>
      </c>
      <c r="G11" s="4" t="s">
        <v>17</v>
      </c>
      <c r="H11" s="4" t="s">
        <v>53</v>
      </c>
      <c r="I11" s="4" t="s">
        <v>19</v>
      </c>
      <c r="J11" s="4" t="s">
        <v>58</v>
      </c>
      <c r="K11" s="7">
        <v>46280</v>
      </c>
      <c r="L11" s="4" t="s">
        <v>55</v>
      </c>
      <c r="M11" t="e">
        <f>MATCH(D:D,'Оплаты в рамках 100 т.р.'!D:D,0)</f>
        <v>#N/A</v>
      </c>
    </row>
    <row r="12" spans="1:13" ht="15.75" customHeight="1" x14ac:dyDescent="0.25">
      <c r="A12" s="4" t="s">
        <v>12</v>
      </c>
      <c r="B12" s="5">
        <v>311307.8</v>
      </c>
      <c r="C12" s="4" t="s">
        <v>59</v>
      </c>
      <c r="D12" s="4" t="s">
        <v>60</v>
      </c>
      <c r="E12" s="4" t="s">
        <v>61</v>
      </c>
      <c r="F12" s="4" t="s">
        <v>16</v>
      </c>
      <c r="G12" s="4" t="s">
        <v>17</v>
      </c>
      <c r="H12" s="4" t="s">
        <v>62</v>
      </c>
      <c r="I12" s="4" t="s">
        <v>19</v>
      </c>
      <c r="J12" s="4" t="s">
        <v>63</v>
      </c>
      <c r="K12" s="7">
        <v>46274</v>
      </c>
      <c r="L12" s="4" t="s">
        <v>64</v>
      </c>
      <c r="M12" t="e">
        <f>MATCH(D:D,'Оплаты в рамках 100 т.р.'!D:D,0)</f>
        <v>#N/A</v>
      </c>
    </row>
    <row r="13" spans="1:13" ht="15.75" customHeight="1" x14ac:dyDescent="0.25">
      <c r="A13" s="4" t="s">
        <v>65</v>
      </c>
      <c r="B13" s="5">
        <v>67680</v>
      </c>
      <c r="C13" s="4" t="s">
        <v>66</v>
      </c>
      <c r="D13" s="4" t="s">
        <v>67</v>
      </c>
      <c r="E13" s="4" t="s">
        <v>68</v>
      </c>
      <c r="F13" s="4" t="s">
        <v>16</v>
      </c>
      <c r="G13" s="4" t="s">
        <v>17</v>
      </c>
      <c r="H13" s="4" t="s">
        <v>53</v>
      </c>
      <c r="I13" s="4" t="s">
        <v>19</v>
      </c>
      <c r="J13" s="4" t="s">
        <v>69</v>
      </c>
      <c r="K13" s="7">
        <v>46129</v>
      </c>
      <c r="L13" s="4" t="s">
        <v>70</v>
      </c>
      <c r="M13" t="e">
        <f>MATCH(D:D,'Оплаты в рамках 100 т.р.'!D:D,0)</f>
        <v>#N/A</v>
      </c>
    </row>
    <row r="14" spans="1:13" ht="15.75" customHeight="1" x14ac:dyDescent="0.25">
      <c r="A14" s="4" t="s">
        <v>12</v>
      </c>
      <c r="B14" s="5">
        <v>31720</v>
      </c>
      <c r="C14" s="4" t="s">
        <v>71</v>
      </c>
      <c r="D14" s="4" t="s">
        <v>72</v>
      </c>
      <c r="E14" s="4" t="s">
        <v>73</v>
      </c>
      <c r="F14" s="4" t="s">
        <v>16</v>
      </c>
      <c r="G14" s="4" t="s">
        <v>17</v>
      </c>
      <c r="H14" s="4" t="s">
        <v>25</v>
      </c>
      <c r="I14" s="4" t="s">
        <v>19</v>
      </c>
      <c r="J14" s="4" t="s">
        <v>74</v>
      </c>
      <c r="K14" s="7">
        <v>46230</v>
      </c>
      <c r="L14" s="4" t="s">
        <v>75</v>
      </c>
      <c r="M14" t="e">
        <f>MATCH(D:D,'Оплаты в рамках 100 т.р.'!D:D,0)</f>
        <v>#N/A</v>
      </c>
    </row>
    <row r="15" spans="1:13" ht="15.75" customHeight="1" x14ac:dyDescent="0.25">
      <c r="A15" s="4" t="s">
        <v>12</v>
      </c>
      <c r="B15" s="6">
        <v>600</v>
      </c>
      <c r="C15" s="4" t="s">
        <v>76</v>
      </c>
      <c r="D15" s="4" t="s">
        <v>77</v>
      </c>
      <c r="E15" s="4" t="s">
        <v>78</v>
      </c>
      <c r="F15" s="4" t="s">
        <v>16</v>
      </c>
      <c r="G15" s="4" t="s">
        <v>17</v>
      </c>
      <c r="H15" s="4" t="s">
        <v>79</v>
      </c>
      <c r="I15" s="4" t="s">
        <v>19</v>
      </c>
      <c r="J15" s="4" t="s">
        <v>80</v>
      </c>
      <c r="K15" s="7">
        <v>46245</v>
      </c>
      <c r="L15" s="4" t="s">
        <v>81</v>
      </c>
      <c r="M15" t="e">
        <f>MATCH(D:D,'Оплаты в рамках 100 т.р.'!D:D,0)</f>
        <v>#N/A</v>
      </c>
    </row>
    <row r="16" spans="1:13" ht="15.75" customHeight="1" x14ac:dyDescent="0.25">
      <c r="A16" s="4" t="s">
        <v>12</v>
      </c>
      <c r="B16" s="5">
        <v>1250</v>
      </c>
      <c r="C16" s="4" t="s">
        <v>82</v>
      </c>
      <c r="D16" s="4" t="s">
        <v>83</v>
      </c>
      <c r="E16" s="4" t="s">
        <v>84</v>
      </c>
      <c r="F16" s="4" t="s">
        <v>16</v>
      </c>
      <c r="G16" s="4" t="s">
        <v>17</v>
      </c>
      <c r="H16" s="4" t="s">
        <v>79</v>
      </c>
      <c r="I16" s="4" t="s">
        <v>19</v>
      </c>
      <c r="J16" s="4" t="s">
        <v>85</v>
      </c>
      <c r="K16" s="7">
        <v>46279</v>
      </c>
      <c r="L16" s="4" t="s">
        <v>81</v>
      </c>
      <c r="M16" t="e">
        <f>MATCH(D:D,'Оплаты в рамках 100 т.р.'!D:D,0)</f>
        <v>#N/A</v>
      </c>
    </row>
    <row r="17" spans="1:13" ht="15.75" customHeight="1" x14ac:dyDescent="0.25">
      <c r="A17" s="4" t="s">
        <v>12</v>
      </c>
      <c r="B17" s="5">
        <v>3625</v>
      </c>
      <c r="C17" s="4" t="s">
        <v>82</v>
      </c>
      <c r="D17" s="4" t="s">
        <v>86</v>
      </c>
      <c r="E17" s="4" t="s">
        <v>87</v>
      </c>
      <c r="F17" s="4" t="s">
        <v>16</v>
      </c>
      <c r="G17" s="4" t="s">
        <v>17</v>
      </c>
      <c r="H17" s="4" t="s">
        <v>79</v>
      </c>
      <c r="I17" s="4" t="s">
        <v>19</v>
      </c>
      <c r="J17" s="4" t="s">
        <v>88</v>
      </c>
      <c r="K17" s="7">
        <v>46188</v>
      </c>
      <c r="L17" s="4" t="s">
        <v>81</v>
      </c>
      <c r="M17" t="e">
        <f>MATCH(D:D,'Оплаты в рамках 100 т.р.'!D:D,0)</f>
        <v>#N/A</v>
      </c>
    </row>
    <row r="18" spans="1:13" ht="15.75" customHeight="1" x14ac:dyDescent="0.25">
      <c r="A18" s="4" t="s">
        <v>12</v>
      </c>
      <c r="B18" s="5">
        <v>10500</v>
      </c>
      <c r="C18" s="4" t="s">
        <v>89</v>
      </c>
      <c r="D18" s="4" t="s">
        <v>90</v>
      </c>
      <c r="E18" s="4" t="s">
        <v>91</v>
      </c>
      <c r="F18" s="4" t="s">
        <v>16</v>
      </c>
      <c r="G18" s="4" t="s">
        <v>17</v>
      </c>
      <c r="H18" s="4" t="s">
        <v>92</v>
      </c>
      <c r="I18" s="4" t="s">
        <v>19</v>
      </c>
      <c r="J18" s="4" t="s">
        <v>93</v>
      </c>
      <c r="K18" s="7">
        <v>46282</v>
      </c>
      <c r="L18" s="4" t="s">
        <v>94</v>
      </c>
      <c r="M18" t="e">
        <f>MATCH(D:D,'Оплаты в рамках 100 т.р.'!D:D,0)</f>
        <v>#N/A</v>
      </c>
    </row>
    <row r="19" spans="1:13" ht="15.75" customHeight="1" x14ac:dyDescent="0.25">
      <c r="A19" s="4" t="s">
        <v>12</v>
      </c>
      <c r="B19" s="5">
        <v>2800</v>
      </c>
      <c r="C19" s="4" t="s">
        <v>89</v>
      </c>
      <c r="D19" s="4" t="s">
        <v>95</v>
      </c>
      <c r="E19" s="4" t="s">
        <v>96</v>
      </c>
      <c r="F19" s="4" t="s">
        <v>16</v>
      </c>
      <c r="G19" s="4" t="s">
        <v>17</v>
      </c>
      <c r="H19" s="4" t="s">
        <v>53</v>
      </c>
      <c r="I19" s="4" t="s">
        <v>19</v>
      </c>
      <c r="J19" s="4" t="s">
        <v>97</v>
      </c>
      <c r="K19" s="7">
        <v>46282</v>
      </c>
      <c r="L19" s="4" t="s">
        <v>98</v>
      </c>
      <c r="M19" t="e">
        <f>MATCH(D:D,'Оплаты в рамках 100 т.р.'!D:D,0)</f>
        <v>#N/A</v>
      </c>
    </row>
    <row r="20" spans="1:13" ht="15.75" customHeight="1" x14ac:dyDescent="0.25">
      <c r="A20" s="4" t="s">
        <v>12</v>
      </c>
      <c r="B20" s="6">
        <v>950</v>
      </c>
      <c r="C20" s="4" t="s">
        <v>99</v>
      </c>
      <c r="D20" s="4" t="s">
        <v>100</v>
      </c>
      <c r="E20" s="4" t="s">
        <v>101</v>
      </c>
      <c r="F20" s="4" t="s">
        <v>16</v>
      </c>
      <c r="G20" s="4" t="s">
        <v>17</v>
      </c>
      <c r="H20" s="4" t="s">
        <v>102</v>
      </c>
      <c r="I20" s="4" t="s">
        <v>19</v>
      </c>
      <c r="J20" s="4" t="s">
        <v>103</v>
      </c>
      <c r="K20" s="7">
        <v>46282</v>
      </c>
      <c r="L20" s="4" t="s">
        <v>104</v>
      </c>
      <c r="M20" t="e">
        <f>MATCH(D:D,'Оплаты в рамках 100 т.р.'!D:D,0)</f>
        <v>#N/A</v>
      </c>
    </row>
    <row r="21" spans="1:13" ht="15.75" customHeight="1" x14ac:dyDescent="0.25">
      <c r="A21" s="4" t="s">
        <v>12</v>
      </c>
      <c r="B21" s="5">
        <v>331200</v>
      </c>
      <c r="C21" s="4" t="s">
        <v>105</v>
      </c>
      <c r="D21" s="4" t="s">
        <v>106</v>
      </c>
      <c r="E21" s="4" t="s">
        <v>107</v>
      </c>
      <c r="F21" s="4" t="s">
        <v>16</v>
      </c>
      <c r="G21" s="4" t="s">
        <v>17</v>
      </c>
      <c r="H21" s="4" t="s">
        <v>108</v>
      </c>
      <c r="I21" s="4" t="s">
        <v>19</v>
      </c>
      <c r="J21" s="4" t="s">
        <v>109</v>
      </c>
      <c r="K21" s="7">
        <v>46219</v>
      </c>
      <c r="L21" s="4" t="s">
        <v>110</v>
      </c>
      <c r="M21" t="e">
        <f>MATCH(D:D,'Оплаты в рамках 100 т.р.'!D:D,0)</f>
        <v>#N/A</v>
      </c>
    </row>
    <row r="22" spans="1:13" ht="15.75" customHeight="1" x14ac:dyDescent="0.25">
      <c r="A22" s="4" t="s">
        <v>12</v>
      </c>
      <c r="B22" s="5">
        <v>3138</v>
      </c>
      <c r="C22" s="4" t="s">
        <v>111</v>
      </c>
      <c r="D22" s="4" t="s">
        <v>112</v>
      </c>
      <c r="E22" s="4" t="s">
        <v>113</v>
      </c>
      <c r="F22" s="4" t="s">
        <v>16</v>
      </c>
      <c r="G22" s="4" t="s">
        <v>17</v>
      </c>
      <c r="H22" s="4" t="s">
        <v>102</v>
      </c>
      <c r="I22" s="4" t="s">
        <v>19</v>
      </c>
      <c r="J22" s="4" t="s">
        <v>114</v>
      </c>
      <c r="K22" s="7">
        <v>46275</v>
      </c>
      <c r="L22" s="4" t="s">
        <v>115</v>
      </c>
      <c r="M22" t="e">
        <f>MATCH(D:D,'Оплаты в рамках 100 т.р.'!D:D,0)</f>
        <v>#N/A</v>
      </c>
    </row>
    <row r="23" spans="1:13" ht="15.75" customHeight="1" x14ac:dyDescent="0.25">
      <c r="A23" s="4" t="s">
        <v>12</v>
      </c>
      <c r="B23" s="5">
        <v>2740</v>
      </c>
      <c r="C23" s="4" t="s">
        <v>111</v>
      </c>
      <c r="D23" s="4" t="s">
        <v>116</v>
      </c>
      <c r="E23" s="4" t="s">
        <v>117</v>
      </c>
      <c r="F23" s="4" t="s">
        <v>16</v>
      </c>
      <c r="G23" s="4" t="s">
        <v>17</v>
      </c>
      <c r="H23" s="4" t="s">
        <v>102</v>
      </c>
      <c r="I23" s="4" t="s">
        <v>19</v>
      </c>
      <c r="J23" s="4" t="s">
        <v>118</v>
      </c>
      <c r="K23" s="7">
        <v>46273</v>
      </c>
      <c r="L23" s="4" t="s">
        <v>115</v>
      </c>
      <c r="M23" t="e">
        <f>MATCH(D:D,'Оплаты в рамках 100 т.р.'!D:D,0)</f>
        <v>#N/A</v>
      </c>
    </row>
    <row r="24" spans="1:13" ht="15.75" customHeight="1" x14ac:dyDescent="0.25">
      <c r="A24" s="4" t="s">
        <v>12</v>
      </c>
      <c r="B24" s="5">
        <v>2611</v>
      </c>
      <c r="C24" s="4" t="s">
        <v>119</v>
      </c>
      <c r="D24" s="4" t="s">
        <v>120</v>
      </c>
      <c r="E24" s="4" t="s">
        <v>121</v>
      </c>
      <c r="F24" s="4" t="s">
        <v>16</v>
      </c>
      <c r="G24" s="4" t="s">
        <v>17</v>
      </c>
      <c r="H24" s="4" t="s">
        <v>102</v>
      </c>
      <c r="I24" s="4" t="s">
        <v>19</v>
      </c>
      <c r="J24" s="4" t="s">
        <v>122</v>
      </c>
      <c r="K24" s="7">
        <v>46281</v>
      </c>
      <c r="L24" s="4" t="s">
        <v>123</v>
      </c>
      <c r="M24" t="e">
        <f>MATCH(D:D,'Оплаты в рамках 100 т.р.'!D:D,0)</f>
        <v>#N/A</v>
      </c>
    </row>
    <row r="25" spans="1:13" ht="15.75" customHeight="1" x14ac:dyDescent="0.25">
      <c r="A25" s="4" t="s">
        <v>12</v>
      </c>
      <c r="B25" s="5">
        <v>1045</v>
      </c>
      <c r="C25" s="4" t="s">
        <v>124</v>
      </c>
      <c r="D25" s="4" t="s">
        <v>125</v>
      </c>
      <c r="E25" s="4" t="s">
        <v>126</v>
      </c>
      <c r="F25" s="4" t="s">
        <v>16</v>
      </c>
      <c r="G25" s="4" t="s">
        <v>17</v>
      </c>
      <c r="H25" s="4" t="s">
        <v>102</v>
      </c>
      <c r="I25" s="4" t="s">
        <v>19</v>
      </c>
      <c r="J25" s="4" t="s">
        <v>127</v>
      </c>
      <c r="K25" s="7">
        <v>46279</v>
      </c>
      <c r="L25" s="4" t="s">
        <v>123</v>
      </c>
      <c r="M25" t="e">
        <f>MATCH(D:D,'Оплаты в рамках 100 т.р.'!D:D,0)</f>
        <v>#N/A</v>
      </c>
    </row>
    <row r="26" spans="1:13" ht="15.75" customHeight="1" x14ac:dyDescent="0.25">
      <c r="A26" s="4" t="s">
        <v>12</v>
      </c>
      <c r="B26" s="5">
        <v>10797</v>
      </c>
      <c r="C26" s="4" t="s">
        <v>128</v>
      </c>
      <c r="D26" s="4" t="s">
        <v>129</v>
      </c>
      <c r="E26" s="4" t="s">
        <v>130</v>
      </c>
      <c r="F26" s="4" t="s">
        <v>16</v>
      </c>
      <c r="G26" s="4" t="s">
        <v>17</v>
      </c>
      <c r="H26" s="4" t="s">
        <v>131</v>
      </c>
      <c r="I26" s="4" t="s">
        <v>19</v>
      </c>
      <c r="J26" s="4" t="s">
        <v>132</v>
      </c>
      <c r="K26" s="7">
        <v>46239</v>
      </c>
      <c r="L26" s="4" t="s">
        <v>133</v>
      </c>
      <c r="M26" t="e">
        <f>MATCH(D:D,'Оплаты в рамках 100 т.р.'!D:D,0)</f>
        <v>#N/A</v>
      </c>
    </row>
    <row r="27" spans="1:13" ht="15.75" customHeight="1" x14ac:dyDescent="0.25">
      <c r="A27" s="4" t="s">
        <v>12</v>
      </c>
      <c r="B27" s="5">
        <v>1573.8</v>
      </c>
      <c r="C27" s="4" t="s">
        <v>128</v>
      </c>
      <c r="D27" s="4" t="s">
        <v>134</v>
      </c>
      <c r="E27" s="4" t="s">
        <v>135</v>
      </c>
      <c r="F27" s="4" t="s">
        <v>16</v>
      </c>
      <c r="G27" s="4" t="s">
        <v>17</v>
      </c>
      <c r="H27" s="4" t="s">
        <v>131</v>
      </c>
      <c r="I27" s="4" t="s">
        <v>19</v>
      </c>
      <c r="J27" s="4" t="s">
        <v>136</v>
      </c>
      <c r="K27" s="7">
        <v>46239</v>
      </c>
      <c r="L27" s="4" t="s">
        <v>133</v>
      </c>
      <c r="M27" t="e">
        <f>MATCH(D:D,'Оплаты в рамках 100 т.р.'!D:D,0)</f>
        <v>#N/A</v>
      </c>
    </row>
    <row r="28" spans="1:13" ht="15.75" customHeight="1" x14ac:dyDescent="0.25">
      <c r="A28" s="4" t="s">
        <v>12</v>
      </c>
      <c r="B28" s="6">
        <v>857.66</v>
      </c>
      <c r="C28" s="4" t="s">
        <v>137</v>
      </c>
      <c r="D28" s="4" t="s">
        <v>138</v>
      </c>
      <c r="E28" s="4" t="s">
        <v>139</v>
      </c>
      <c r="F28" s="4" t="s">
        <v>16</v>
      </c>
      <c r="G28" s="4" t="s">
        <v>17</v>
      </c>
      <c r="H28" s="4" t="s">
        <v>53</v>
      </c>
      <c r="I28" s="4" t="s">
        <v>19</v>
      </c>
      <c r="J28" s="4" t="s">
        <v>140</v>
      </c>
      <c r="K28" s="7">
        <v>46266</v>
      </c>
      <c r="L28" s="4" t="s">
        <v>98</v>
      </c>
      <c r="M28" t="e">
        <f>MATCH(D:D,'Оплаты в рамках 100 т.р.'!D:D,0)</f>
        <v>#N/A</v>
      </c>
    </row>
    <row r="29" spans="1:13" ht="15.75" customHeight="1" x14ac:dyDescent="0.25">
      <c r="A29" s="4" t="s">
        <v>12</v>
      </c>
      <c r="B29" s="5">
        <v>19416.3</v>
      </c>
      <c r="C29" s="4" t="s">
        <v>137</v>
      </c>
      <c r="D29" s="4" t="s">
        <v>141</v>
      </c>
      <c r="E29" s="4" t="s">
        <v>142</v>
      </c>
      <c r="F29" s="4" t="s">
        <v>16</v>
      </c>
      <c r="G29" s="4" t="s">
        <v>17</v>
      </c>
      <c r="H29" s="4" t="s">
        <v>53</v>
      </c>
      <c r="I29" s="4" t="s">
        <v>19</v>
      </c>
      <c r="J29" s="4" t="s">
        <v>143</v>
      </c>
      <c r="K29" s="7">
        <v>46273</v>
      </c>
      <c r="L29" s="4" t="s">
        <v>98</v>
      </c>
      <c r="M29" t="e">
        <f>MATCH(D:D,'Оплаты в рамках 100 т.р.'!D:D,0)</f>
        <v>#N/A</v>
      </c>
    </row>
    <row r="30" spans="1:13" ht="15.75" customHeight="1" x14ac:dyDescent="0.25">
      <c r="A30" s="4" t="s">
        <v>12</v>
      </c>
      <c r="B30" s="5">
        <v>13800</v>
      </c>
      <c r="C30" s="4" t="s">
        <v>144</v>
      </c>
      <c r="D30" s="4" t="s">
        <v>145</v>
      </c>
      <c r="E30" s="4" t="s">
        <v>146</v>
      </c>
      <c r="F30" s="4" t="s">
        <v>16</v>
      </c>
      <c r="G30" s="4" t="s">
        <v>17</v>
      </c>
      <c r="H30" s="4" t="s">
        <v>147</v>
      </c>
      <c r="I30" s="4" t="s">
        <v>19</v>
      </c>
      <c r="J30" s="4" t="s">
        <v>148</v>
      </c>
      <c r="K30" s="7">
        <v>46275</v>
      </c>
      <c r="L30" s="4" t="s">
        <v>149</v>
      </c>
      <c r="M30" t="e">
        <f>MATCH(D:D,'Оплаты в рамках 100 т.р.'!D:D,0)</f>
        <v>#N/A</v>
      </c>
    </row>
    <row r="31" spans="1:13" ht="15.75" customHeight="1" x14ac:dyDescent="0.25">
      <c r="A31" s="4" t="s">
        <v>12</v>
      </c>
      <c r="B31" s="5">
        <v>15000</v>
      </c>
      <c r="C31" s="4" t="s">
        <v>150</v>
      </c>
      <c r="D31" s="4" t="s">
        <v>151</v>
      </c>
      <c r="E31" s="4" t="s">
        <v>152</v>
      </c>
      <c r="F31" s="4" t="s">
        <v>16</v>
      </c>
      <c r="G31" s="4" t="s">
        <v>17</v>
      </c>
      <c r="H31" s="4" t="s">
        <v>25</v>
      </c>
      <c r="I31" s="4" t="s">
        <v>19</v>
      </c>
      <c r="J31" s="4" t="s">
        <v>153</v>
      </c>
      <c r="K31" s="7">
        <v>46261</v>
      </c>
      <c r="L31" s="4" t="s">
        <v>41</v>
      </c>
      <c r="M31" t="e">
        <f>MATCH(D:D,'Оплаты в рамках 100 т.р.'!D:D,0)</f>
        <v>#N/A</v>
      </c>
    </row>
    <row r="32" spans="1:13" ht="15.75" customHeight="1" x14ac:dyDescent="0.25">
      <c r="A32" s="4" t="s">
        <v>12</v>
      </c>
      <c r="B32" s="5">
        <v>88145</v>
      </c>
      <c r="C32" s="4" t="s">
        <v>154</v>
      </c>
      <c r="D32" s="4" t="s">
        <v>155</v>
      </c>
      <c r="E32" s="4" t="s">
        <v>156</v>
      </c>
      <c r="F32" s="4" t="s">
        <v>16</v>
      </c>
      <c r="G32" s="4" t="s">
        <v>17</v>
      </c>
      <c r="H32" s="4" t="s">
        <v>79</v>
      </c>
      <c r="I32" s="4" t="s">
        <v>19</v>
      </c>
      <c r="J32" s="4" t="s">
        <v>157</v>
      </c>
      <c r="K32" s="7">
        <v>46281</v>
      </c>
      <c r="L32" s="4" t="s">
        <v>158</v>
      </c>
      <c r="M32" t="e">
        <f>MATCH(D:D,'Оплаты в рамках 100 т.р.'!D:D,0)</f>
        <v>#N/A</v>
      </c>
    </row>
    <row r="33" spans="1:13" ht="15.75" customHeight="1" x14ac:dyDescent="0.25">
      <c r="A33" s="4" t="s">
        <v>12</v>
      </c>
      <c r="B33" s="5">
        <v>45000</v>
      </c>
      <c r="C33" s="4" t="s">
        <v>159</v>
      </c>
      <c r="D33" s="4" t="s">
        <v>160</v>
      </c>
      <c r="E33" s="4" t="s">
        <v>161</v>
      </c>
      <c r="F33" s="4" t="s">
        <v>16</v>
      </c>
      <c r="G33" s="4" t="s">
        <v>17</v>
      </c>
      <c r="H33" s="4" t="s">
        <v>102</v>
      </c>
      <c r="I33" s="4" t="s">
        <v>19</v>
      </c>
      <c r="J33" s="4" t="s">
        <v>162</v>
      </c>
      <c r="K33" s="7">
        <v>46268</v>
      </c>
      <c r="L33" s="4" t="s">
        <v>163</v>
      </c>
      <c r="M33" t="e">
        <f>MATCH(D:D,'Оплаты в рамках 100 т.р.'!D:D,0)</f>
        <v>#N/A</v>
      </c>
    </row>
    <row r="34" spans="1:13" ht="15.75" customHeight="1" x14ac:dyDescent="0.25">
      <c r="A34" s="4" t="s">
        <v>12</v>
      </c>
      <c r="B34" s="5">
        <v>22596</v>
      </c>
      <c r="C34" s="4" t="s">
        <v>159</v>
      </c>
      <c r="D34" s="4" t="s">
        <v>164</v>
      </c>
      <c r="E34" s="4" t="s">
        <v>165</v>
      </c>
      <c r="F34" s="4" t="s">
        <v>16</v>
      </c>
      <c r="G34" s="4" t="s">
        <v>17</v>
      </c>
      <c r="H34" s="4" t="s">
        <v>102</v>
      </c>
      <c r="I34" s="4" t="s">
        <v>19</v>
      </c>
      <c r="J34" s="4" t="s">
        <v>166</v>
      </c>
      <c r="K34" s="7">
        <v>46282</v>
      </c>
      <c r="L34" s="4" t="s">
        <v>104</v>
      </c>
      <c r="M34" t="e">
        <f>MATCH(D:D,'Оплаты в рамках 100 т.р.'!D:D,0)</f>
        <v>#N/A</v>
      </c>
    </row>
    <row r="35" spans="1:13" ht="15.75" customHeight="1" x14ac:dyDescent="0.25">
      <c r="A35" s="4" t="s">
        <v>65</v>
      </c>
      <c r="B35" s="5">
        <v>12107.63</v>
      </c>
      <c r="C35" s="4" t="s">
        <v>167</v>
      </c>
      <c r="D35" s="4" t="s">
        <v>168</v>
      </c>
      <c r="E35" s="4" t="s">
        <v>169</v>
      </c>
      <c r="F35" s="4" t="s">
        <v>16</v>
      </c>
      <c r="G35" s="4" t="s">
        <v>17</v>
      </c>
      <c r="H35" s="4" t="s">
        <v>53</v>
      </c>
      <c r="I35" s="4" t="s">
        <v>19</v>
      </c>
      <c r="J35" s="4" t="s">
        <v>170</v>
      </c>
      <c r="K35" s="7">
        <v>46275</v>
      </c>
      <c r="L35" s="4" t="s">
        <v>171</v>
      </c>
      <c r="M35" t="e">
        <f>MATCH(D:D,'Оплаты в рамках 100 т.р.'!D:D,0)</f>
        <v>#N/A</v>
      </c>
    </row>
    <row r="36" spans="1:13" ht="15.75" customHeight="1" x14ac:dyDescent="0.25">
      <c r="A36" s="4" t="s">
        <v>12</v>
      </c>
      <c r="B36" s="5">
        <v>5600</v>
      </c>
      <c r="C36" s="4" t="s">
        <v>172</v>
      </c>
      <c r="D36" s="4" t="s">
        <v>173</v>
      </c>
      <c r="E36" s="4" t="s">
        <v>174</v>
      </c>
      <c r="F36" s="4" t="s">
        <v>16</v>
      </c>
      <c r="G36" s="4" t="s">
        <v>17</v>
      </c>
      <c r="H36" s="4" t="s">
        <v>175</v>
      </c>
      <c r="I36" s="4" t="s">
        <v>19</v>
      </c>
      <c r="J36" s="4" t="s">
        <v>176</v>
      </c>
      <c r="K36" s="7">
        <v>45852</v>
      </c>
      <c r="L36" s="4" t="s">
        <v>133</v>
      </c>
      <c r="M36" t="e">
        <f>MATCH(D:D,'Оплаты в рамках 100 т.р.'!D:D,0)</f>
        <v>#N/A</v>
      </c>
    </row>
    <row r="37" spans="1:13" ht="15.75" customHeight="1" x14ac:dyDescent="0.25">
      <c r="A37" s="4" t="s">
        <v>12</v>
      </c>
      <c r="B37" s="5">
        <v>5600</v>
      </c>
      <c r="C37" s="4" t="s">
        <v>172</v>
      </c>
      <c r="D37" s="4" t="s">
        <v>177</v>
      </c>
      <c r="E37" s="4" t="s">
        <v>178</v>
      </c>
      <c r="F37" s="4" t="s">
        <v>16</v>
      </c>
      <c r="G37" s="4" t="s">
        <v>17</v>
      </c>
      <c r="H37" s="4" t="s">
        <v>175</v>
      </c>
      <c r="I37" s="4" t="s">
        <v>19</v>
      </c>
      <c r="J37" s="4" t="s">
        <v>179</v>
      </c>
      <c r="K37" s="7">
        <v>45910</v>
      </c>
      <c r="L37" s="4" t="s">
        <v>133</v>
      </c>
      <c r="M37" t="e">
        <f>MATCH(D:D,'Оплаты в рамках 100 т.р.'!D:D,0)</f>
        <v>#N/A</v>
      </c>
    </row>
    <row r="38" spans="1:13" ht="15.75" customHeight="1" x14ac:dyDescent="0.25">
      <c r="A38" s="4" t="s">
        <v>12</v>
      </c>
      <c r="B38" s="5">
        <v>5600</v>
      </c>
      <c r="C38" s="4" t="s">
        <v>172</v>
      </c>
      <c r="D38" s="4" t="s">
        <v>180</v>
      </c>
      <c r="E38" s="4" t="s">
        <v>181</v>
      </c>
      <c r="F38" s="4" t="s">
        <v>16</v>
      </c>
      <c r="G38" s="4" t="s">
        <v>17</v>
      </c>
      <c r="H38" s="4" t="s">
        <v>175</v>
      </c>
      <c r="I38" s="4" t="s">
        <v>19</v>
      </c>
      <c r="J38" s="4" t="s">
        <v>182</v>
      </c>
      <c r="K38" s="7">
        <v>45881</v>
      </c>
      <c r="L38" s="4" t="s">
        <v>133</v>
      </c>
      <c r="M38" t="e">
        <f>MATCH(D:D,'Оплаты в рамках 100 т.р.'!D:D,0)</f>
        <v>#N/A</v>
      </c>
    </row>
    <row r="39" spans="1:13" ht="15.75" customHeight="1" x14ac:dyDescent="0.25">
      <c r="A39" s="4" t="s">
        <v>12</v>
      </c>
      <c r="B39" s="5">
        <v>3400</v>
      </c>
      <c r="C39" s="4" t="s">
        <v>183</v>
      </c>
      <c r="D39" s="4" t="s">
        <v>184</v>
      </c>
      <c r="E39" s="4" t="s">
        <v>185</v>
      </c>
      <c r="F39" s="4" t="s">
        <v>16</v>
      </c>
      <c r="G39" s="4" t="s">
        <v>17</v>
      </c>
      <c r="H39" s="4" t="s">
        <v>102</v>
      </c>
      <c r="I39" s="4" t="s">
        <v>19</v>
      </c>
      <c r="J39" s="4" t="s">
        <v>186</v>
      </c>
      <c r="K39" s="7">
        <v>46283</v>
      </c>
      <c r="L39" s="4" t="s">
        <v>123</v>
      </c>
      <c r="M39" t="e">
        <f>MATCH(D:D,'Оплаты в рамках 100 т.р.'!D:D,0)</f>
        <v>#N/A</v>
      </c>
    </row>
    <row r="40" spans="1:13" ht="15.75" customHeight="1" x14ac:dyDescent="0.25">
      <c r="A40" s="4" t="s">
        <v>12</v>
      </c>
      <c r="B40" s="5">
        <v>93240</v>
      </c>
      <c r="C40" s="4" t="s">
        <v>187</v>
      </c>
      <c r="D40" s="4" t="s">
        <v>188</v>
      </c>
      <c r="E40" s="4" t="s">
        <v>189</v>
      </c>
      <c r="F40" s="4" t="s">
        <v>16</v>
      </c>
      <c r="G40" s="4" t="s">
        <v>17</v>
      </c>
      <c r="H40" s="4" t="s">
        <v>108</v>
      </c>
      <c r="I40" s="4" t="s">
        <v>19</v>
      </c>
      <c r="J40" s="4" t="s">
        <v>190</v>
      </c>
      <c r="K40" s="7">
        <v>46252</v>
      </c>
      <c r="L40" s="4" t="s">
        <v>110</v>
      </c>
      <c r="M40" t="e">
        <f>MATCH(D:D,'Оплаты в рамках 100 т.р.'!D:D,0)</f>
        <v>#N/A</v>
      </c>
    </row>
    <row r="41" spans="1:13" ht="15.75" customHeight="1" x14ac:dyDescent="0.25">
      <c r="A41" s="4" t="s">
        <v>12</v>
      </c>
      <c r="B41" s="5">
        <v>2500</v>
      </c>
      <c r="C41" s="4" t="s">
        <v>191</v>
      </c>
      <c r="D41" s="4" t="s">
        <v>192</v>
      </c>
      <c r="E41" s="4" t="s">
        <v>193</v>
      </c>
      <c r="F41" s="4" t="s">
        <v>16</v>
      </c>
      <c r="G41" s="4" t="s">
        <v>17</v>
      </c>
      <c r="H41" s="4" t="s">
        <v>194</v>
      </c>
      <c r="I41" s="4" t="s">
        <v>19</v>
      </c>
      <c r="J41" s="4" t="s">
        <v>195</v>
      </c>
      <c r="K41" s="7">
        <v>46279</v>
      </c>
      <c r="L41" s="4" t="s">
        <v>104</v>
      </c>
      <c r="M41" t="e">
        <f>MATCH(D:D,'Оплаты в рамках 100 т.р.'!D:D,0)</f>
        <v>#N/A</v>
      </c>
    </row>
    <row r="42" spans="1:13" ht="15.75" customHeight="1" x14ac:dyDescent="0.25">
      <c r="A42" s="4" t="s">
        <v>12</v>
      </c>
      <c r="B42" s="5">
        <v>17300</v>
      </c>
      <c r="C42" s="4" t="s">
        <v>196</v>
      </c>
      <c r="D42" s="4" t="s">
        <v>197</v>
      </c>
      <c r="E42" s="4" t="s">
        <v>198</v>
      </c>
      <c r="F42" s="4" t="s">
        <v>16</v>
      </c>
      <c r="G42" s="4" t="s">
        <v>17</v>
      </c>
      <c r="H42" s="4" t="s">
        <v>53</v>
      </c>
      <c r="I42" s="4" t="s">
        <v>19</v>
      </c>
      <c r="J42" s="4" t="s">
        <v>199</v>
      </c>
      <c r="K42" s="7">
        <v>46217</v>
      </c>
      <c r="L42" s="4" t="s">
        <v>133</v>
      </c>
      <c r="M42" t="e">
        <f>MATCH(D:D,'Оплаты в рамках 100 т.р.'!D:D,0)</f>
        <v>#N/A</v>
      </c>
    </row>
    <row r="43" spans="1:13" ht="15.75" customHeight="1" x14ac:dyDescent="0.25">
      <c r="A43" s="4" t="s">
        <v>12</v>
      </c>
      <c r="B43" s="5">
        <v>9135</v>
      </c>
      <c r="C43" s="4" t="s">
        <v>200</v>
      </c>
      <c r="D43" s="4" t="s">
        <v>201</v>
      </c>
      <c r="E43" s="4" t="s">
        <v>202</v>
      </c>
      <c r="F43" s="4" t="s">
        <v>16</v>
      </c>
      <c r="G43" s="4" t="s">
        <v>17</v>
      </c>
      <c r="H43" s="4" t="s">
        <v>53</v>
      </c>
      <c r="I43" s="4" t="s">
        <v>19</v>
      </c>
      <c r="J43" s="4" t="s">
        <v>203</v>
      </c>
      <c r="K43" s="7">
        <v>46154</v>
      </c>
      <c r="L43" s="4" t="s">
        <v>204</v>
      </c>
      <c r="M43" t="e">
        <f>MATCH(D:D,'Оплаты в рамках 100 т.р.'!D:D,0)</f>
        <v>#N/A</v>
      </c>
    </row>
    <row r="44" spans="1:13" ht="15.75" customHeight="1" x14ac:dyDescent="0.25">
      <c r="A44" s="4" t="s">
        <v>12</v>
      </c>
      <c r="B44" s="5">
        <v>3150</v>
      </c>
      <c r="C44" s="4" t="s">
        <v>200</v>
      </c>
      <c r="D44" s="4" t="s">
        <v>205</v>
      </c>
      <c r="E44" s="4" t="s">
        <v>206</v>
      </c>
      <c r="F44" s="4" t="s">
        <v>16</v>
      </c>
      <c r="G44" s="4" t="s">
        <v>17</v>
      </c>
      <c r="H44" s="4" t="s">
        <v>53</v>
      </c>
      <c r="I44" s="4" t="s">
        <v>19</v>
      </c>
      <c r="J44" s="4" t="s">
        <v>207</v>
      </c>
      <c r="K44" s="7">
        <v>46154</v>
      </c>
      <c r="L44" s="4" t="s">
        <v>204</v>
      </c>
      <c r="M44" t="e">
        <f>MATCH(D:D,'Оплаты в рамках 100 т.р.'!D:D,0)</f>
        <v>#N/A</v>
      </c>
    </row>
    <row r="45" spans="1:13" ht="15.75" customHeight="1" x14ac:dyDescent="0.25">
      <c r="A45" s="4" t="s">
        <v>12</v>
      </c>
      <c r="B45" s="5">
        <v>3150</v>
      </c>
      <c r="C45" s="4" t="s">
        <v>200</v>
      </c>
      <c r="D45" s="4" t="s">
        <v>208</v>
      </c>
      <c r="E45" s="4" t="s">
        <v>209</v>
      </c>
      <c r="F45" s="4" t="s">
        <v>16</v>
      </c>
      <c r="G45" s="4" t="s">
        <v>17</v>
      </c>
      <c r="H45" s="4" t="s">
        <v>53</v>
      </c>
      <c r="I45" s="4" t="s">
        <v>19</v>
      </c>
      <c r="J45" s="4" t="s">
        <v>210</v>
      </c>
      <c r="K45" s="7">
        <v>46168</v>
      </c>
      <c r="L45" s="4" t="s">
        <v>204</v>
      </c>
      <c r="M45" t="e">
        <f>MATCH(D:D,'Оплаты в рамках 100 т.р.'!D:D,0)</f>
        <v>#N/A</v>
      </c>
    </row>
    <row r="46" spans="1:13" ht="15.75" customHeight="1" x14ac:dyDescent="0.25">
      <c r="A46" s="4" t="s">
        <v>12</v>
      </c>
      <c r="B46" s="5">
        <v>104920</v>
      </c>
      <c r="C46" s="4" t="s">
        <v>211</v>
      </c>
      <c r="D46" s="4" t="s">
        <v>212</v>
      </c>
      <c r="E46" s="4" t="s">
        <v>213</v>
      </c>
      <c r="F46" s="4" t="s">
        <v>16</v>
      </c>
      <c r="G46" s="4" t="s">
        <v>17</v>
      </c>
      <c r="H46" s="4" t="s">
        <v>25</v>
      </c>
      <c r="I46" s="4" t="s">
        <v>19</v>
      </c>
      <c r="J46" s="4" t="s">
        <v>214</v>
      </c>
      <c r="K46" s="7">
        <v>46253</v>
      </c>
      <c r="L46" s="4" t="s">
        <v>215</v>
      </c>
      <c r="M46" t="e">
        <f>MATCH(D:D,'Оплаты в рамках 100 т.р.'!D:D,0)</f>
        <v>#N/A</v>
      </c>
    </row>
    <row r="47" spans="1:13" ht="15.75" customHeight="1" x14ac:dyDescent="0.25">
      <c r="A47" s="4" t="s">
        <v>12</v>
      </c>
      <c r="B47" s="5">
        <v>2850</v>
      </c>
      <c r="C47" s="4" t="s">
        <v>216</v>
      </c>
      <c r="D47" s="4" t="s">
        <v>217</v>
      </c>
      <c r="E47" s="4" t="s">
        <v>218</v>
      </c>
      <c r="F47" s="4" t="s">
        <v>16</v>
      </c>
      <c r="G47" s="4" t="s">
        <v>17</v>
      </c>
      <c r="H47" s="4" t="s">
        <v>102</v>
      </c>
      <c r="I47" s="4" t="s">
        <v>19</v>
      </c>
      <c r="J47" s="4" t="s">
        <v>219</v>
      </c>
      <c r="K47" s="7">
        <v>46275</v>
      </c>
      <c r="L47" s="4" t="s">
        <v>220</v>
      </c>
      <c r="M47" t="e">
        <f>MATCH(D:D,'Оплаты в рамках 100 т.р.'!D:D,0)</f>
        <v>#N/A</v>
      </c>
    </row>
    <row r="48" spans="1:13" ht="15.75" customHeight="1" x14ac:dyDescent="0.25">
      <c r="A48" s="4" t="s">
        <v>12</v>
      </c>
      <c r="B48" s="5">
        <v>168693.84</v>
      </c>
      <c r="C48" s="4" t="s">
        <v>221</v>
      </c>
      <c r="D48" s="4" t="s">
        <v>222</v>
      </c>
      <c r="E48" s="4" t="s">
        <v>223</v>
      </c>
      <c r="F48" s="4" t="s">
        <v>16</v>
      </c>
      <c r="G48" s="4" t="s">
        <v>17</v>
      </c>
      <c r="H48" s="4" t="s">
        <v>62</v>
      </c>
      <c r="I48" s="4" t="s">
        <v>19</v>
      </c>
      <c r="J48" s="4" t="s">
        <v>224</v>
      </c>
      <c r="K48" s="7">
        <v>46261</v>
      </c>
      <c r="L48" s="4" t="s">
        <v>64</v>
      </c>
      <c r="M48" t="e">
        <f>MATCH(D:D,'Оплаты в рамках 100 т.р.'!D:D,0)</f>
        <v>#N/A</v>
      </c>
    </row>
    <row r="49" spans="1:13" ht="15.75" customHeight="1" x14ac:dyDescent="0.25">
      <c r="A49" s="4" t="s">
        <v>65</v>
      </c>
      <c r="B49" s="5">
        <v>42210.559999999998</v>
      </c>
      <c r="C49" s="4" t="s">
        <v>225</v>
      </c>
      <c r="D49" s="4" t="s">
        <v>226</v>
      </c>
      <c r="E49" s="4" t="s">
        <v>227</v>
      </c>
      <c r="F49" s="4" t="s">
        <v>16</v>
      </c>
      <c r="G49" s="4" t="s">
        <v>17</v>
      </c>
      <c r="H49" s="4" t="s">
        <v>53</v>
      </c>
      <c r="I49" s="4" t="s">
        <v>19</v>
      </c>
      <c r="J49" s="4" t="s">
        <v>228</v>
      </c>
      <c r="K49" s="7">
        <v>46251</v>
      </c>
      <c r="L49" s="4" t="s">
        <v>229</v>
      </c>
      <c r="M49" t="e">
        <f>MATCH(D:D,'Оплаты в рамках 100 т.р.'!D:D,0)</f>
        <v>#N/A</v>
      </c>
    </row>
    <row r="50" spans="1:13" ht="15.75" customHeight="1" x14ac:dyDescent="0.25">
      <c r="A50" s="4" t="s">
        <v>12</v>
      </c>
      <c r="B50" s="5">
        <v>4428</v>
      </c>
      <c r="C50" s="4" t="s">
        <v>230</v>
      </c>
      <c r="D50" s="4" t="s">
        <v>231</v>
      </c>
      <c r="E50" s="4" t="s">
        <v>232</v>
      </c>
      <c r="F50" s="4" t="s">
        <v>16</v>
      </c>
      <c r="G50" s="4" t="s">
        <v>17</v>
      </c>
      <c r="H50" s="4" t="s">
        <v>79</v>
      </c>
      <c r="I50" s="4" t="s">
        <v>19</v>
      </c>
      <c r="J50" s="4" t="s">
        <v>233</v>
      </c>
      <c r="K50" s="7">
        <v>46274</v>
      </c>
      <c r="L50" s="4" t="s">
        <v>123</v>
      </c>
      <c r="M50" t="e">
        <f>MATCH(D:D,'Оплаты в рамках 100 т.р.'!D:D,0)</f>
        <v>#N/A</v>
      </c>
    </row>
    <row r="51" spans="1:13" ht="17.25" customHeight="1" x14ac:dyDescent="0.25">
      <c r="A51" s="4" t="s">
        <v>12</v>
      </c>
      <c r="B51" s="5">
        <v>15120</v>
      </c>
      <c r="C51" s="4" t="s">
        <v>234</v>
      </c>
      <c r="D51" s="4" t="s">
        <v>235</v>
      </c>
      <c r="E51" s="4" t="s">
        <v>236</v>
      </c>
      <c r="F51" s="4" t="s">
        <v>16</v>
      </c>
      <c r="G51" s="4" t="s">
        <v>17</v>
      </c>
      <c r="H51" s="4" t="s">
        <v>79</v>
      </c>
      <c r="I51" s="4" t="s">
        <v>19</v>
      </c>
      <c r="J51" s="4" t="s">
        <v>237</v>
      </c>
      <c r="K51" s="7">
        <v>46274</v>
      </c>
      <c r="L51" s="4" t="s">
        <v>158</v>
      </c>
      <c r="M51" t="e">
        <f>MATCH(D:D,'Оплаты в рамках 100 т.р.'!D:D,0)</f>
        <v>#N/A</v>
      </c>
    </row>
    <row r="52" spans="1:13" ht="17.25" customHeight="1" x14ac:dyDescent="0.25">
      <c r="A52" s="4" t="s">
        <v>12</v>
      </c>
      <c r="B52" s="5">
        <v>4400</v>
      </c>
      <c r="C52" s="4" t="s">
        <v>238</v>
      </c>
      <c r="D52" s="4" t="s">
        <v>239</v>
      </c>
      <c r="E52" s="4" t="s">
        <v>240</v>
      </c>
      <c r="F52" s="4" t="s">
        <v>16</v>
      </c>
      <c r="G52" s="4" t="s">
        <v>17</v>
      </c>
      <c r="H52" s="4" t="s">
        <v>92</v>
      </c>
      <c r="I52" s="4" t="s">
        <v>19</v>
      </c>
      <c r="J52" s="4" t="s">
        <v>241</v>
      </c>
      <c r="K52" s="7">
        <v>46280</v>
      </c>
      <c r="L52" s="4" t="s">
        <v>242</v>
      </c>
      <c r="M52" t="e">
        <f>MATCH(D:D,'Оплаты в рамках 100 т.р.'!D:D,0)</f>
        <v>#N/A</v>
      </c>
    </row>
    <row r="53" spans="1:13" ht="17.25" customHeight="1" x14ac:dyDescent="0.25">
      <c r="A53" s="4" t="s">
        <v>12</v>
      </c>
      <c r="B53" s="5">
        <v>4500</v>
      </c>
      <c r="C53" s="4" t="s">
        <v>238</v>
      </c>
      <c r="D53" s="4" t="s">
        <v>243</v>
      </c>
      <c r="E53" s="4" t="s">
        <v>244</v>
      </c>
      <c r="F53" s="4" t="s">
        <v>16</v>
      </c>
      <c r="G53" s="4" t="s">
        <v>17</v>
      </c>
      <c r="H53" s="4" t="s">
        <v>92</v>
      </c>
      <c r="I53" s="4" t="s">
        <v>19</v>
      </c>
      <c r="J53" s="4" t="s">
        <v>245</v>
      </c>
      <c r="K53" s="7">
        <v>46280</v>
      </c>
      <c r="L53" s="4" t="s">
        <v>242</v>
      </c>
      <c r="M53" t="e">
        <f>MATCH(D:D,'Оплаты в рамках 100 т.р.'!D:D,0)</f>
        <v>#N/A</v>
      </c>
    </row>
    <row r="54" spans="1:13" ht="17.25" customHeight="1" x14ac:dyDescent="0.25">
      <c r="A54" s="4" t="s">
        <v>12</v>
      </c>
      <c r="B54" s="5">
        <v>2640</v>
      </c>
      <c r="C54" s="4" t="s">
        <v>246</v>
      </c>
      <c r="D54" s="4" t="s">
        <v>247</v>
      </c>
      <c r="E54" s="4" t="s">
        <v>248</v>
      </c>
      <c r="F54" s="4" t="s">
        <v>16</v>
      </c>
      <c r="G54" s="4" t="s">
        <v>17</v>
      </c>
      <c r="H54" s="4" t="s">
        <v>102</v>
      </c>
      <c r="I54" s="4" t="s">
        <v>19</v>
      </c>
      <c r="J54" s="4" t="s">
        <v>249</v>
      </c>
      <c r="K54" s="7">
        <v>46279</v>
      </c>
      <c r="L54" s="4" t="s">
        <v>123</v>
      </c>
      <c r="M54" t="e">
        <f>MATCH(D:D,'Оплаты в рамках 100 т.р.'!D:D,0)</f>
        <v>#N/A</v>
      </c>
    </row>
    <row r="55" spans="1:13" ht="17.25" customHeight="1" x14ac:dyDescent="0.25">
      <c r="A55" s="4" t="s">
        <v>12</v>
      </c>
      <c r="B55" s="5">
        <v>8200</v>
      </c>
      <c r="C55" s="4" t="s">
        <v>250</v>
      </c>
      <c r="D55" s="4" t="s">
        <v>251</v>
      </c>
      <c r="E55" s="4" t="s">
        <v>252</v>
      </c>
      <c r="F55" s="4" t="s">
        <v>16</v>
      </c>
      <c r="G55" s="4" t="s">
        <v>17</v>
      </c>
      <c r="H55" s="4" t="s">
        <v>253</v>
      </c>
      <c r="I55" s="4" t="s">
        <v>19</v>
      </c>
      <c r="J55" s="4" t="s">
        <v>254</v>
      </c>
      <c r="K55" s="7">
        <v>46249</v>
      </c>
      <c r="L55" s="4" t="s">
        <v>255</v>
      </c>
      <c r="M55" t="e">
        <f>MATCH(D:D,'Оплаты в рамках 100 т.р.'!D:D,0)</f>
        <v>#N/A</v>
      </c>
    </row>
    <row r="56" spans="1:13" ht="17.25" customHeight="1" x14ac:dyDescent="0.25">
      <c r="A56" s="4" t="s">
        <v>12</v>
      </c>
      <c r="B56" s="5">
        <v>53347.9</v>
      </c>
      <c r="C56" s="4" t="s">
        <v>256</v>
      </c>
      <c r="D56" s="4" t="s">
        <v>257</v>
      </c>
      <c r="E56" s="4" t="s">
        <v>258</v>
      </c>
      <c r="F56" s="4" t="s">
        <v>16</v>
      </c>
      <c r="G56" s="4" t="s">
        <v>17</v>
      </c>
      <c r="H56" s="4" t="s">
        <v>53</v>
      </c>
      <c r="I56" s="4" t="s">
        <v>19</v>
      </c>
      <c r="J56" s="4" t="s">
        <v>259</v>
      </c>
      <c r="K56" s="7">
        <v>46188</v>
      </c>
      <c r="L56" s="4" t="s">
        <v>260</v>
      </c>
      <c r="M56" t="e">
        <f>MATCH(D:D,'Оплаты в рамках 100 т.р.'!D:D,0)</f>
        <v>#N/A</v>
      </c>
    </row>
    <row r="57" spans="1:13" ht="17.25" customHeight="1" x14ac:dyDescent="0.25">
      <c r="A57" s="4" t="s">
        <v>12</v>
      </c>
      <c r="B57" s="5">
        <v>69644.149999999994</v>
      </c>
      <c r="C57" s="4" t="s">
        <v>261</v>
      </c>
      <c r="D57" s="4" t="s">
        <v>262</v>
      </c>
      <c r="E57" s="4" t="s">
        <v>263</v>
      </c>
      <c r="F57" s="4" t="s">
        <v>16</v>
      </c>
      <c r="G57" s="4" t="s">
        <v>17</v>
      </c>
      <c r="H57" s="4" t="s">
        <v>25</v>
      </c>
      <c r="I57" s="4" t="s">
        <v>19</v>
      </c>
      <c r="J57" s="4" t="s">
        <v>264</v>
      </c>
      <c r="K57" s="7">
        <v>46218</v>
      </c>
      <c r="L57" s="4" t="s">
        <v>27</v>
      </c>
      <c r="M57" t="e">
        <f>MATCH(D:D,'Оплаты в рамках 100 т.р.'!D:D,0)</f>
        <v>#N/A</v>
      </c>
    </row>
    <row r="58" spans="1:13" ht="17.25" customHeight="1" x14ac:dyDescent="0.25">
      <c r="A58" s="4" t="s">
        <v>12</v>
      </c>
      <c r="B58" s="5">
        <v>180000</v>
      </c>
      <c r="C58" s="4" t="s">
        <v>265</v>
      </c>
      <c r="D58" s="4" t="s">
        <v>266</v>
      </c>
      <c r="E58" s="4" t="s">
        <v>267</v>
      </c>
      <c r="F58" s="4" t="s">
        <v>16</v>
      </c>
      <c r="G58" s="4" t="s">
        <v>17</v>
      </c>
      <c r="H58" s="4" t="s">
        <v>92</v>
      </c>
      <c r="I58" s="4" t="s">
        <v>19</v>
      </c>
      <c r="J58" s="4" t="s">
        <v>268</v>
      </c>
      <c r="K58" s="7">
        <v>46168</v>
      </c>
      <c r="L58" s="4" t="s">
        <v>269</v>
      </c>
      <c r="M58" t="e">
        <f>MATCH(D:D,'Оплаты в рамках 100 т.р.'!D:D,0)</f>
        <v>#N/A</v>
      </c>
    </row>
    <row r="59" spans="1:13" ht="17.25" customHeight="1" x14ac:dyDescent="0.25">
      <c r="A59" s="4" t="s">
        <v>12</v>
      </c>
      <c r="B59" s="5">
        <v>38796</v>
      </c>
      <c r="C59" s="4" t="s">
        <v>265</v>
      </c>
      <c r="D59" s="4" t="s">
        <v>270</v>
      </c>
      <c r="E59" s="4" t="s">
        <v>271</v>
      </c>
      <c r="F59" s="4" t="s">
        <v>16</v>
      </c>
      <c r="G59" s="4" t="s">
        <v>17</v>
      </c>
      <c r="H59" s="4" t="s">
        <v>92</v>
      </c>
      <c r="I59" s="4" t="s">
        <v>19</v>
      </c>
      <c r="J59" s="4" t="s">
        <v>272</v>
      </c>
      <c r="K59" s="7">
        <v>46261</v>
      </c>
      <c r="L59" s="4" t="s">
        <v>269</v>
      </c>
      <c r="M59" t="e">
        <f>MATCH(D:D,'Оплаты в рамках 100 т.р.'!D:D,0)</f>
        <v>#N/A</v>
      </c>
    </row>
    <row r="60" spans="1:13" ht="17.25" customHeight="1" x14ac:dyDescent="0.25">
      <c r="A60" s="4" t="s">
        <v>12</v>
      </c>
      <c r="B60" s="5">
        <v>71280</v>
      </c>
      <c r="C60" s="4" t="s">
        <v>273</v>
      </c>
      <c r="D60" s="4" t="s">
        <v>274</v>
      </c>
      <c r="E60" s="4" t="s">
        <v>275</v>
      </c>
      <c r="F60" s="4" t="s">
        <v>16</v>
      </c>
      <c r="G60" s="4" t="s">
        <v>17</v>
      </c>
      <c r="H60" s="4" t="s">
        <v>53</v>
      </c>
      <c r="I60" s="4" t="s">
        <v>19</v>
      </c>
      <c r="J60" s="4" t="s">
        <v>276</v>
      </c>
      <c r="K60" s="7">
        <v>46254</v>
      </c>
      <c r="L60" s="4" t="s">
        <v>277</v>
      </c>
      <c r="M60" t="e">
        <f>MATCH(D:D,'Оплаты в рамках 100 т.р.'!D:D,0)</f>
        <v>#N/A</v>
      </c>
    </row>
    <row r="61" spans="1:13" ht="17.25" customHeight="1" x14ac:dyDescent="0.25">
      <c r="A61" s="4" t="s">
        <v>12</v>
      </c>
      <c r="B61" s="5">
        <v>104601.84</v>
      </c>
      <c r="C61" s="4" t="s">
        <v>278</v>
      </c>
      <c r="D61" s="4" t="s">
        <v>279</v>
      </c>
      <c r="E61" s="4" t="s">
        <v>280</v>
      </c>
      <c r="F61" s="4" t="s">
        <v>16</v>
      </c>
      <c r="G61" s="4" t="s">
        <v>17</v>
      </c>
      <c r="H61" s="4" t="s">
        <v>53</v>
      </c>
      <c r="I61" s="4" t="s">
        <v>19</v>
      </c>
      <c r="J61" s="4" t="s">
        <v>281</v>
      </c>
      <c r="K61" s="7">
        <v>46210</v>
      </c>
      <c r="L61" s="4" t="s">
        <v>260</v>
      </c>
      <c r="M61" t="e">
        <f>MATCH(D:D,'Оплаты в рамках 100 т.р.'!D:D,0)</f>
        <v>#N/A</v>
      </c>
    </row>
    <row r="62" spans="1:13" ht="17.25" customHeight="1" x14ac:dyDescent="0.25">
      <c r="A62" s="4" t="s">
        <v>12</v>
      </c>
      <c r="B62" s="5">
        <v>3000</v>
      </c>
      <c r="C62" s="4" t="s">
        <v>282</v>
      </c>
      <c r="D62" s="4" t="s">
        <v>283</v>
      </c>
      <c r="E62" s="4" t="s">
        <v>284</v>
      </c>
      <c r="F62" s="4" t="s">
        <v>16</v>
      </c>
      <c r="G62" s="4" t="s">
        <v>17</v>
      </c>
      <c r="H62" s="4" t="s">
        <v>25</v>
      </c>
      <c r="I62" s="4" t="s">
        <v>19</v>
      </c>
      <c r="J62" s="4" t="s">
        <v>285</v>
      </c>
      <c r="K62" s="7">
        <v>46230</v>
      </c>
      <c r="L62" s="4" t="s">
        <v>75</v>
      </c>
      <c r="M62" t="e">
        <f>MATCH(D:D,'Оплаты в рамках 100 т.р.'!D:D,0)</f>
        <v>#N/A</v>
      </c>
    </row>
    <row r="63" spans="1:13" ht="17.25" customHeight="1" x14ac:dyDescent="0.25">
      <c r="A63" s="4" t="s">
        <v>12</v>
      </c>
      <c r="B63" s="5">
        <v>168000</v>
      </c>
      <c r="C63" s="4" t="s">
        <v>286</v>
      </c>
      <c r="D63" s="4" t="s">
        <v>287</v>
      </c>
      <c r="E63" s="4" t="s">
        <v>288</v>
      </c>
      <c r="F63" s="4" t="s">
        <v>16</v>
      </c>
      <c r="G63" s="4" t="s">
        <v>17</v>
      </c>
      <c r="H63" s="4" t="s">
        <v>53</v>
      </c>
      <c r="I63" s="4" t="s">
        <v>19</v>
      </c>
      <c r="J63" s="4" t="s">
        <v>289</v>
      </c>
      <c r="K63" s="7">
        <v>46134</v>
      </c>
      <c r="L63" s="4" t="s">
        <v>260</v>
      </c>
      <c r="M63" t="e">
        <f>MATCH(D:D,'Оплаты в рамках 100 т.р.'!D:D,0)</f>
        <v>#N/A</v>
      </c>
    </row>
    <row r="64" spans="1:13" ht="17.25" customHeight="1" x14ac:dyDescent="0.25">
      <c r="A64" s="4" t="s">
        <v>12</v>
      </c>
      <c r="B64" s="5">
        <v>2000</v>
      </c>
      <c r="C64" s="4" t="s">
        <v>290</v>
      </c>
      <c r="D64" s="4" t="s">
        <v>291</v>
      </c>
      <c r="E64" s="4" t="s">
        <v>292</v>
      </c>
      <c r="F64" s="4" t="s">
        <v>16</v>
      </c>
      <c r="G64" s="4" t="s">
        <v>17</v>
      </c>
      <c r="H64" s="4" t="s">
        <v>102</v>
      </c>
      <c r="I64" s="4" t="s">
        <v>19</v>
      </c>
      <c r="J64" s="4" t="s">
        <v>293</v>
      </c>
      <c r="K64" s="7">
        <v>46279</v>
      </c>
      <c r="L64" s="4" t="s">
        <v>294</v>
      </c>
      <c r="M64" t="e">
        <f>MATCH(D:D,'Оплаты в рамках 100 т.р.'!D:D,0)</f>
        <v>#N/A</v>
      </c>
    </row>
    <row r="65" spans="1:17" ht="17.25" customHeight="1" x14ac:dyDescent="0.25">
      <c r="A65" s="4" t="s">
        <v>12</v>
      </c>
      <c r="B65" s="5">
        <v>85800</v>
      </c>
      <c r="C65" s="4" t="s">
        <v>295</v>
      </c>
      <c r="D65" s="4" t="s">
        <v>296</v>
      </c>
      <c r="E65" s="4" t="s">
        <v>297</v>
      </c>
      <c r="F65" s="4" t="s">
        <v>16</v>
      </c>
      <c r="G65" s="4" t="s">
        <v>17</v>
      </c>
      <c r="H65" s="4" t="s">
        <v>92</v>
      </c>
      <c r="I65" s="4" t="s">
        <v>19</v>
      </c>
      <c r="J65" s="4" t="s">
        <v>298</v>
      </c>
      <c r="K65" s="7">
        <v>46286</v>
      </c>
      <c r="L65" s="4" t="s">
        <v>269</v>
      </c>
      <c r="M65" t="e">
        <f>MATCH(D:D,'Оплаты в рамках 100 т.р.'!D:D,0)</f>
        <v>#N/A</v>
      </c>
    </row>
    <row r="66" spans="1:17" ht="17.25" customHeight="1" x14ac:dyDescent="0.25">
      <c r="A66" s="4" t="s">
        <v>12</v>
      </c>
      <c r="B66" s="5">
        <v>1500</v>
      </c>
      <c r="C66" s="4" t="s">
        <v>238</v>
      </c>
      <c r="D66" s="4" t="s">
        <v>299</v>
      </c>
      <c r="E66" s="4" t="s">
        <v>300</v>
      </c>
      <c r="F66" s="4" t="s">
        <v>16</v>
      </c>
      <c r="G66" s="4" t="s">
        <v>17</v>
      </c>
      <c r="H66" s="4" t="s">
        <v>92</v>
      </c>
      <c r="I66" s="4" t="s">
        <v>19</v>
      </c>
      <c r="J66" s="4" t="s">
        <v>301</v>
      </c>
      <c r="K66" s="7">
        <v>46287</v>
      </c>
      <c r="L66" s="4" t="s">
        <v>242</v>
      </c>
      <c r="M66" t="e">
        <f>MATCH(D:D,'Оплаты в рамках 100 т.р.'!D:D,0)</f>
        <v>#N/A</v>
      </c>
    </row>
    <row r="67" spans="1:17" ht="14.25" customHeight="1" x14ac:dyDescent="0.25">
      <c r="A67" s="4" t="s">
        <v>302</v>
      </c>
      <c r="B67" s="5">
        <v>7060.97</v>
      </c>
      <c r="C67" s="4" t="s">
        <v>303</v>
      </c>
      <c r="D67" s="4" t="s">
        <v>304</v>
      </c>
      <c r="E67" s="4" t="s">
        <v>305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306</v>
      </c>
      <c r="K67" s="7">
        <v>46281</v>
      </c>
      <c r="L67" s="4" t="s">
        <v>307</v>
      </c>
      <c r="M67" t="e">
        <f>MATCH(D:D,'Оплаты в рамках 100 т.р.'!D:D,0)</f>
        <v>#N/A</v>
      </c>
    </row>
    <row r="68" spans="1:17" ht="14.25" customHeight="1" x14ac:dyDescent="0.25">
      <c r="A68" s="11" t="s">
        <v>308</v>
      </c>
      <c r="B68" s="12">
        <v>42330</v>
      </c>
      <c r="C68" s="11" t="s">
        <v>309</v>
      </c>
      <c r="D68" s="11" t="s">
        <v>310</v>
      </c>
      <c r="E68" s="11" t="s">
        <v>311</v>
      </c>
      <c r="F68" s="11" t="s">
        <v>16</v>
      </c>
      <c r="G68" s="11" t="s">
        <v>17</v>
      </c>
      <c r="H68" s="11" t="s">
        <v>175</v>
      </c>
      <c r="I68" s="11" t="s">
        <v>19</v>
      </c>
      <c r="J68" s="11" t="s">
        <v>312</v>
      </c>
      <c r="K68" s="11" t="s">
        <v>313</v>
      </c>
      <c r="L68" s="11" t="s">
        <v>314</v>
      </c>
      <c r="M68" t="e">
        <f>MATCH(D:D,'Оплаты в рамках 100 т.р.'!D:D,0)</f>
        <v>#N/A</v>
      </c>
    </row>
    <row r="69" spans="1:17" ht="14.25" customHeight="1" x14ac:dyDescent="0.25">
      <c r="A69" s="11" t="s">
        <v>12</v>
      </c>
      <c r="B69" s="12">
        <v>50000</v>
      </c>
      <c r="C69" s="11" t="s">
        <v>315</v>
      </c>
      <c r="D69" s="11" t="s">
        <v>316</v>
      </c>
      <c r="E69" s="11" t="s">
        <v>317</v>
      </c>
      <c r="F69" s="11" t="s">
        <v>16</v>
      </c>
      <c r="G69" s="11" t="s">
        <v>17</v>
      </c>
      <c r="H69" s="11" t="s">
        <v>175</v>
      </c>
      <c r="I69" s="11" t="s">
        <v>19</v>
      </c>
      <c r="J69" s="11" t="s">
        <v>318</v>
      </c>
      <c r="K69" s="11" t="s">
        <v>313</v>
      </c>
      <c r="L69" s="11" t="s">
        <v>314</v>
      </c>
      <c r="M69" t="e">
        <f>MATCH(D:D,'Оплаты в рамках 100 т.р.'!D:D,0)</f>
        <v>#N/A</v>
      </c>
    </row>
    <row r="73" spans="1:17" ht="18.75" x14ac:dyDescent="0.3">
      <c r="A73" s="19" t="s">
        <v>319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5" spans="1:17" ht="30" x14ac:dyDescent="0.25">
      <c r="A75" s="13" t="s">
        <v>320</v>
      </c>
      <c r="B75" s="13" t="s">
        <v>253</v>
      </c>
      <c r="C75" s="13" t="s">
        <v>25</v>
      </c>
      <c r="D75" s="13" t="s">
        <v>194</v>
      </c>
      <c r="E75" s="13" t="s">
        <v>102</v>
      </c>
      <c r="F75" s="13" t="s">
        <v>92</v>
      </c>
      <c r="G75" s="13" t="s">
        <v>175</v>
      </c>
      <c r="H75" s="13" t="s">
        <v>108</v>
      </c>
      <c r="I75" s="13" t="s">
        <v>45</v>
      </c>
      <c r="J75" s="13" t="s">
        <v>147</v>
      </c>
      <c r="K75" s="13" t="s">
        <v>18</v>
      </c>
      <c r="L75" s="13" t="s">
        <v>53</v>
      </c>
      <c r="M75" s="13" t="s">
        <v>131</v>
      </c>
      <c r="N75" s="13" t="s">
        <v>79</v>
      </c>
      <c r="O75" s="13" t="s">
        <v>62</v>
      </c>
      <c r="P75" s="13" t="s">
        <v>321</v>
      </c>
      <c r="Q75" s="13" t="s">
        <v>322</v>
      </c>
    </row>
    <row r="76" spans="1:17" x14ac:dyDescent="0.25">
      <c r="A76" s="14" t="s">
        <v>22</v>
      </c>
      <c r="B76" s="15">
        <v>0</v>
      </c>
      <c r="C76" s="15">
        <v>92500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92500</v>
      </c>
      <c r="Q76" s="14" t="s">
        <v>323</v>
      </c>
    </row>
    <row r="77" spans="1:17" x14ac:dyDescent="0.25">
      <c r="A77" s="14" t="s">
        <v>309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42330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42330</v>
      </c>
      <c r="Q77" s="14" t="s">
        <v>324</v>
      </c>
    </row>
    <row r="78" spans="1:17" x14ac:dyDescent="0.25">
      <c r="A78" s="14" t="s">
        <v>42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64000</v>
      </c>
      <c r="J78" s="15">
        <v>0</v>
      </c>
      <c r="K78" s="15">
        <v>0</v>
      </c>
      <c r="L78" s="15">
        <v>38500</v>
      </c>
      <c r="M78" s="15">
        <v>0</v>
      </c>
      <c r="N78" s="15">
        <v>0</v>
      </c>
      <c r="O78" s="15">
        <v>0</v>
      </c>
      <c r="P78" s="15">
        <v>102500</v>
      </c>
      <c r="Q78" s="14" t="s">
        <v>325</v>
      </c>
    </row>
    <row r="79" spans="1:17" x14ac:dyDescent="0.25">
      <c r="A79" s="14" t="s">
        <v>59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311307.8</v>
      </c>
      <c r="P79" s="15">
        <v>311307.8</v>
      </c>
      <c r="Q79" s="14" t="s">
        <v>326</v>
      </c>
    </row>
    <row r="80" spans="1:17" x14ac:dyDescent="0.25">
      <c r="A80" s="14" t="s">
        <v>71</v>
      </c>
      <c r="B80" s="15">
        <v>0</v>
      </c>
      <c r="C80" s="15">
        <v>31720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31720</v>
      </c>
      <c r="Q80" s="14" t="s">
        <v>327</v>
      </c>
    </row>
    <row r="81" spans="1:17" x14ac:dyDescent="0.25">
      <c r="A81" s="14" t="s">
        <v>13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10185</v>
      </c>
      <c r="L81" s="15">
        <v>0</v>
      </c>
      <c r="M81" s="15">
        <v>0</v>
      </c>
      <c r="N81" s="15">
        <v>0</v>
      </c>
      <c r="O81" s="15">
        <v>0</v>
      </c>
      <c r="P81" s="15">
        <v>10185</v>
      </c>
      <c r="Q81" s="14" t="s">
        <v>328</v>
      </c>
    </row>
    <row r="82" spans="1:17" x14ac:dyDescent="0.25">
      <c r="A82" s="14" t="s">
        <v>37</v>
      </c>
      <c r="B82" s="15">
        <v>0</v>
      </c>
      <c r="C82" s="15">
        <v>12500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12500</v>
      </c>
      <c r="Q82" s="14" t="s">
        <v>329</v>
      </c>
    </row>
    <row r="83" spans="1:17" x14ac:dyDescent="0.25">
      <c r="A83" s="14" t="s">
        <v>66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67680</v>
      </c>
      <c r="M83" s="15">
        <v>0</v>
      </c>
      <c r="N83" s="15">
        <v>0</v>
      </c>
      <c r="O83" s="15">
        <v>0</v>
      </c>
      <c r="P83" s="15">
        <v>67680</v>
      </c>
      <c r="Q83" s="14" t="s">
        <v>326</v>
      </c>
    </row>
    <row r="84" spans="1:17" x14ac:dyDescent="0.25">
      <c r="A84" s="14" t="s">
        <v>89</v>
      </c>
      <c r="B84" s="15">
        <v>0</v>
      </c>
      <c r="C84" s="15">
        <v>0</v>
      </c>
      <c r="D84" s="15">
        <v>0</v>
      </c>
      <c r="E84" s="15">
        <v>0</v>
      </c>
      <c r="F84" s="15">
        <v>10500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2800</v>
      </c>
      <c r="M84" s="15">
        <v>0</v>
      </c>
      <c r="N84" s="15">
        <v>0</v>
      </c>
      <c r="O84" s="15">
        <v>0</v>
      </c>
      <c r="P84" s="15">
        <v>13300</v>
      </c>
      <c r="Q84" s="14" t="s">
        <v>330</v>
      </c>
    </row>
    <row r="85" spans="1:17" x14ac:dyDescent="0.25">
      <c r="A85" s="14" t="s">
        <v>76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600</v>
      </c>
      <c r="O85" s="15">
        <v>0</v>
      </c>
      <c r="P85" s="15">
        <v>600</v>
      </c>
      <c r="Q85" s="14" t="s">
        <v>331</v>
      </c>
    </row>
    <row r="86" spans="1:17" x14ac:dyDescent="0.25">
      <c r="A86" s="14" t="s">
        <v>82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4875</v>
      </c>
      <c r="O86" s="15">
        <v>0</v>
      </c>
      <c r="P86" s="15">
        <v>4875</v>
      </c>
      <c r="Q86" s="14" t="s">
        <v>332</v>
      </c>
    </row>
    <row r="87" spans="1:17" x14ac:dyDescent="0.25">
      <c r="A87" s="14" t="s">
        <v>99</v>
      </c>
      <c r="B87" s="15">
        <v>0</v>
      </c>
      <c r="C87" s="15">
        <v>0</v>
      </c>
      <c r="D87" s="15">
        <v>0</v>
      </c>
      <c r="E87" s="15">
        <v>950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950</v>
      </c>
      <c r="Q87" s="14" t="s">
        <v>333</v>
      </c>
    </row>
    <row r="88" spans="1:17" x14ac:dyDescent="0.25">
      <c r="A88" s="14" t="s">
        <v>105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331200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331200</v>
      </c>
      <c r="Q88" s="14" t="s">
        <v>334</v>
      </c>
    </row>
    <row r="89" spans="1:17" x14ac:dyDescent="0.25">
      <c r="A89" s="14" t="s">
        <v>119</v>
      </c>
      <c r="B89" s="15">
        <v>0</v>
      </c>
      <c r="C89" s="15">
        <v>0</v>
      </c>
      <c r="D89" s="15">
        <v>0</v>
      </c>
      <c r="E89" s="15">
        <v>2611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2611</v>
      </c>
      <c r="Q89" s="14" t="s">
        <v>329</v>
      </c>
    </row>
    <row r="90" spans="1:17" x14ac:dyDescent="0.25">
      <c r="A90" s="14" t="s">
        <v>124</v>
      </c>
      <c r="B90" s="15">
        <v>0</v>
      </c>
      <c r="C90" s="15">
        <v>0</v>
      </c>
      <c r="D90" s="15">
        <v>0</v>
      </c>
      <c r="E90" s="15">
        <v>1045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1045</v>
      </c>
      <c r="Q90" s="14" t="s">
        <v>329</v>
      </c>
    </row>
    <row r="91" spans="1:17" x14ac:dyDescent="0.25">
      <c r="A91" s="14" t="s">
        <v>128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12370.8</v>
      </c>
      <c r="N91" s="15">
        <v>0</v>
      </c>
      <c r="O91" s="15">
        <v>0</v>
      </c>
      <c r="P91" s="15">
        <v>12370.8</v>
      </c>
      <c r="Q91" s="14" t="s">
        <v>909</v>
      </c>
    </row>
    <row r="92" spans="1:17" x14ac:dyDescent="0.25">
      <c r="A92" s="14" t="s">
        <v>144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13800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13800</v>
      </c>
      <c r="Q92" s="14" t="s">
        <v>336</v>
      </c>
    </row>
    <row r="93" spans="1:17" x14ac:dyDescent="0.25">
      <c r="A93" s="14" t="s">
        <v>111</v>
      </c>
      <c r="B93" s="15">
        <v>0</v>
      </c>
      <c r="C93" s="15">
        <v>0</v>
      </c>
      <c r="D93" s="15">
        <v>0</v>
      </c>
      <c r="E93" s="15">
        <v>5878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5878</v>
      </c>
      <c r="Q93" s="14" t="s">
        <v>337</v>
      </c>
    </row>
    <row r="94" spans="1:17" x14ac:dyDescent="0.25">
      <c r="A94" s="14" t="s">
        <v>137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20273.96</v>
      </c>
      <c r="M94" s="15">
        <v>0</v>
      </c>
      <c r="N94" s="15">
        <v>0</v>
      </c>
      <c r="O94" s="15">
        <v>0</v>
      </c>
      <c r="P94" s="15">
        <v>20273.96</v>
      </c>
      <c r="Q94" s="14" t="s">
        <v>338</v>
      </c>
    </row>
    <row r="95" spans="1:17" x14ac:dyDescent="0.25">
      <c r="A95" s="14" t="s">
        <v>150</v>
      </c>
      <c r="B95" s="15">
        <v>0</v>
      </c>
      <c r="C95" s="15">
        <v>15000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15000</v>
      </c>
      <c r="Q95" s="14" t="s">
        <v>339</v>
      </c>
    </row>
    <row r="96" spans="1:17" x14ac:dyDescent="0.25">
      <c r="A96" s="14" t="s">
        <v>154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88145</v>
      </c>
      <c r="O96" s="15">
        <v>0</v>
      </c>
      <c r="P96" s="15">
        <v>88145</v>
      </c>
      <c r="Q96" s="14" t="s">
        <v>332</v>
      </c>
    </row>
    <row r="97" spans="1:17" x14ac:dyDescent="0.25">
      <c r="A97" s="14" t="s">
        <v>167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12107.63</v>
      </c>
      <c r="M97" s="15">
        <v>0</v>
      </c>
      <c r="N97" s="15">
        <v>0</v>
      </c>
      <c r="O97" s="15">
        <v>0</v>
      </c>
      <c r="P97" s="15">
        <v>12107.63</v>
      </c>
      <c r="Q97" s="14" t="s">
        <v>340</v>
      </c>
    </row>
    <row r="98" spans="1:17" x14ac:dyDescent="0.25">
      <c r="A98" s="14" t="s">
        <v>159</v>
      </c>
      <c r="B98" s="15">
        <v>0</v>
      </c>
      <c r="C98" s="15">
        <v>0</v>
      </c>
      <c r="D98" s="15">
        <v>0</v>
      </c>
      <c r="E98" s="15">
        <v>67596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67596</v>
      </c>
      <c r="Q98" s="14" t="s">
        <v>329</v>
      </c>
    </row>
    <row r="99" spans="1:17" x14ac:dyDescent="0.25">
      <c r="A99" s="14" t="s">
        <v>172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16800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16800</v>
      </c>
      <c r="Q99" s="14" t="s">
        <v>331</v>
      </c>
    </row>
    <row r="100" spans="1:17" x14ac:dyDescent="0.25">
      <c r="A100" s="14" t="s">
        <v>183</v>
      </c>
      <c r="B100" s="15">
        <v>0</v>
      </c>
      <c r="C100" s="15">
        <v>0</v>
      </c>
      <c r="D100" s="15">
        <v>0</v>
      </c>
      <c r="E100" s="15">
        <v>3400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3400</v>
      </c>
      <c r="Q100" s="14" t="s">
        <v>329</v>
      </c>
    </row>
    <row r="101" spans="1:17" x14ac:dyDescent="0.25">
      <c r="A101" s="14" t="s">
        <v>187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93240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93240</v>
      </c>
      <c r="Q101" s="14" t="s">
        <v>329</v>
      </c>
    </row>
    <row r="102" spans="1:17" x14ac:dyDescent="0.25">
      <c r="A102" s="14" t="s">
        <v>191</v>
      </c>
      <c r="B102" s="15">
        <v>0</v>
      </c>
      <c r="C102" s="15">
        <v>0</v>
      </c>
      <c r="D102" s="15">
        <v>2500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2500</v>
      </c>
      <c r="Q102" s="14" t="s">
        <v>325</v>
      </c>
    </row>
    <row r="103" spans="1:17" x14ac:dyDescent="0.25">
      <c r="A103" s="14" t="s">
        <v>196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17300</v>
      </c>
      <c r="M103" s="15">
        <v>0</v>
      </c>
      <c r="N103" s="15">
        <v>0</v>
      </c>
      <c r="O103" s="15">
        <v>0</v>
      </c>
      <c r="P103" s="15">
        <v>17300</v>
      </c>
      <c r="Q103" s="14" t="s">
        <v>341</v>
      </c>
    </row>
    <row r="104" spans="1:17" x14ac:dyDescent="0.25">
      <c r="A104" s="14" t="s">
        <v>200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15435</v>
      </c>
      <c r="M104" s="15">
        <v>0</v>
      </c>
      <c r="N104" s="15">
        <v>0</v>
      </c>
      <c r="O104" s="15">
        <v>0</v>
      </c>
      <c r="P104" s="15">
        <v>15435</v>
      </c>
      <c r="Q104" s="14" t="s">
        <v>325</v>
      </c>
    </row>
    <row r="105" spans="1:17" x14ac:dyDescent="0.25">
      <c r="A105" s="14" t="s">
        <v>303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7060.97</v>
      </c>
      <c r="L105" s="15">
        <v>0</v>
      </c>
      <c r="M105" s="15">
        <v>0</v>
      </c>
      <c r="N105" s="15">
        <v>0</v>
      </c>
      <c r="O105" s="15">
        <v>0</v>
      </c>
      <c r="P105" s="15">
        <v>7060.97</v>
      </c>
      <c r="Q105" s="14" t="s">
        <v>342</v>
      </c>
    </row>
    <row r="106" spans="1:17" x14ac:dyDescent="0.25">
      <c r="A106" s="14" t="s">
        <v>295</v>
      </c>
      <c r="B106" s="15">
        <v>0</v>
      </c>
      <c r="C106" s="15">
        <v>0</v>
      </c>
      <c r="D106" s="15">
        <v>0</v>
      </c>
      <c r="E106" s="15">
        <v>0</v>
      </c>
      <c r="F106" s="15">
        <v>85800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85800</v>
      </c>
      <c r="Q106" s="14" t="s">
        <v>329</v>
      </c>
    </row>
    <row r="107" spans="1:17" x14ac:dyDescent="0.25">
      <c r="A107" s="14" t="s">
        <v>211</v>
      </c>
      <c r="B107" s="15">
        <v>0</v>
      </c>
      <c r="C107" s="15">
        <v>104920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104920</v>
      </c>
      <c r="Q107" s="14" t="s">
        <v>343</v>
      </c>
    </row>
    <row r="108" spans="1:17" x14ac:dyDescent="0.25">
      <c r="A108" s="14" t="s">
        <v>216</v>
      </c>
      <c r="B108" s="15">
        <v>0</v>
      </c>
      <c r="C108" s="15">
        <v>0</v>
      </c>
      <c r="D108" s="15">
        <v>0</v>
      </c>
      <c r="E108" s="15">
        <v>2850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2850</v>
      </c>
      <c r="Q108" s="14" t="s">
        <v>331</v>
      </c>
    </row>
    <row r="109" spans="1:17" x14ac:dyDescent="0.25">
      <c r="A109" s="14" t="s">
        <v>221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168693.84</v>
      </c>
      <c r="P109" s="15">
        <v>168693.84</v>
      </c>
      <c r="Q109" s="14" t="s">
        <v>344</v>
      </c>
    </row>
    <row r="110" spans="1:17" x14ac:dyDescent="0.25">
      <c r="A110" s="14" t="s">
        <v>225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42210.559999999998</v>
      </c>
      <c r="M110" s="15">
        <v>0</v>
      </c>
      <c r="N110" s="15">
        <v>0</v>
      </c>
      <c r="O110" s="15">
        <v>0</v>
      </c>
      <c r="P110" s="15">
        <v>42210.559999999998</v>
      </c>
      <c r="Q110" s="14" t="s">
        <v>345</v>
      </c>
    </row>
    <row r="111" spans="1:17" x14ac:dyDescent="0.25">
      <c r="A111" s="14" t="s">
        <v>230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4428</v>
      </c>
      <c r="O111" s="15">
        <v>0</v>
      </c>
      <c r="P111" s="15">
        <v>4428</v>
      </c>
      <c r="Q111" s="14" t="s">
        <v>329</v>
      </c>
    </row>
    <row r="112" spans="1:17" x14ac:dyDescent="0.25">
      <c r="A112" s="14" t="s">
        <v>315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50000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50000</v>
      </c>
      <c r="Q112" s="14" t="s">
        <v>346</v>
      </c>
    </row>
    <row r="113" spans="1:17" x14ac:dyDescent="0.25">
      <c r="A113" s="14" t="s">
        <v>238</v>
      </c>
      <c r="B113" s="15">
        <v>0</v>
      </c>
      <c r="C113" s="15">
        <v>0</v>
      </c>
      <c r="D113" s="15">
        <v>0</v>
      </c>
      <c r="E113" s="15">
        <v>0</v>
      </c>
      <c r="F113" s="15">
        <v>10400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10400</v>
      </c>
      <c r="Q113" s="14" t="s">
        <v>325</v>
      </c>
    </row>
    <row r="114" spans="1:17" x14ac:dyDescent="0.25">
      <c r="A114" s="14" t="s">
        <v>234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15120</v>
      </c>
      <c r="O114" s="15">
        <v>0</v>
      </c>
      <c r="P114" s="15">
        <v>15120</v>
      </c>
      <c r="Q114" s="14" t="s">
        <v>329</v>
      </c>
    </row>
    <row r="115" spans="1:17" x14ac:dyDescent="0.25">
      <c r="A115" s="14" t="s">
        <v>246</v>
      </c>
      <c r="B115" s="15">
        <v>0</v>
      </c>
      <c r="C115" s="15">
        <v>0</v>
      </c>
      <c r="D115" s="15">
        <v>0</v>
      </c>
      <c r="E115" s="15">
        <v>2640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2640</v>
      </c>
      <c r="Q115" s="14" t="s">
        <v>329</v>
      </c>
    </row>
    <row r="116" spans="1:17" x14ac:dyDescent="0.25">
      <c r="A116" s="14" t="s">
        <v>250</v>
      </c>
      <c r="B116" s="15">
        <v>8200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8200</v>
      </c>
      <c r="Q116" s="14" t="s">
        <v>347</v>
      </c>
    </row>
    <row r="117" spans="1:17" x14ac:dyDescent="0.25">
      <c r="A117" s="14" t="s">
        <v>256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53347.9</v>
      </c>
      <c r="M117" s="15">
        <v>0</v>
      </c>
      <c r="N117" s="15">
        <v>0</v>
      </c>
      <c r="O117" s="15">
        <v>0</v>
      </c>
      <c r="P117" s="15">
        <v>53347.9</v>
      </c>
      <c r="Q117" s="14" t="s">
        <v>348</v>
      </c>
    </row>
    <row r="118" spans="1:17" x14ac:dyDescent="0.25">
      <c r="A118" s="14" t="s">
        <v>261</v>
      </c>
      <c r="B118" s="15">
        <v>0</v>
      </c>
      <c r="C118" s="15">
        <v>69644.149999999994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69644.149999999994</v>
      </c>
      <c r="Q118" s="14" t="s">
        <v>326</v>
      </c>
    </row>
    <row r="119" spans="1:17" x14ac:dyDescent="0.25">
      <c r="A119" s="14" t="s">
        <v>265</v>
      </c>
      <c r="B119" s="15">
        <v>0</v>
      </c>
      <c r="C119" s="15">
        <v>0</v>
      </c>
      <c r="D119" s="15">
        <v>0</v>
      </c>
      <c r="E119" s="15">
        <v>0</v>
      </c>
      <c r="F119" s="15">
        <v>218796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218796</v>
      </c>
      <c r="Q119" s="14" t="s">
        <v>349</v>
      </c>
    </row>
    <row r="120" spans="1:17" x14ac:dyDescent="0.25">
      <c r="A120" s="14" t="s">
        <v>278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104601.84</v>
      </c>
      <c r="M120" s="15">
        <v>0</v>
      </c>
      <c r="N120" s="15">
        <v>0</v>
      </c>
      <c r="O120" s="15">
        <v>0</v>
      </c>
      <c r="P120" s="15">
        <v>104601.84</v>
      </c>
      <c r="Q120" s="14" t="s">
        <v>350</v>
      </c>
    </row>
    <row r="121" spans="1:17" x14ac:dyDescent="0.25">
      <c r="A121" s="14" t="s">
        <v>273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71280</v>
      </c>
      <c r="M121" s="15">
        <v>0</v>
      </c>
      <c r="N121" s="15">
        <v>0</v>
      </c>
      <c r="O121" s="15">
        <v>0</v>
      </c>
      <c r="P121" s="15">
        <v>71280</v>
      </c>
      <c r="Q121" s="14" t="s">
        <v>329</v>
      </c>
    </row>
    <row r="122" spans="1:17" x14ac:dyDescent="0.25">
      <c r="A122" s="14" t="s">
        <v>282</v>
      </c>
      <c r="B122" s="15">
        <v>0</v>
      </c>
      <c r="C122" s="15">
        <v>3000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3000</v>
      </c>
      <c r="Q122" s="14" t="s">
        <v>334</v>
      </c>
    </row>
    <row r="123" spans="1:17" x14ac:dyDescent="0.25">
      <c r="A123" s="14" t="s">
        <v>286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168000</v>
      </c>
      <c r="M123" s="15">
        <v>0</v>
      </c>
      <c r="N123" s="15">
        <v>0</v>
      </c>
      <c r="O123" s="15">
        <v>0</v>
      </c>
      <c r="P123" s="15">
        <v>168000</v>
      </c>
      <c r="Q123" s="14" t="s">
        <v>351</v>
      </c>
    </row>
    <row r="124" spans="1:17" x14ac:dyDescent="0.25">
      <c r="A124" s="14" t="s">
        <v>290</v>
      </c>
      <c r="B124" s="15">
        <v>0</v>
      </c>
      <c r="C124" s="15">
        <v>0</v>
      </c>
      <c r="D124" s="15">
        <v>0</v>
      </c>
      <c r="E124" s="15">
        <v>2000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2000</v>
      </c>
      <c r="Q124" s="14" t="s">
        <v>352</v>
      </c>
    </row>
    <row r="125" spans="1:17" x14ac:dyDescent="0.25">
      <c r="A125" s="16" t="s">
        <v>353</v>
      </c>
      <c r="B125" s="17">
        <v>8200</v>
      </c>
      <c r="C125" s="17">
        <v>329284.15000000002</v>
      </c>
      <c r="D125" s="17">
        <v>2500</v>
      </c>
      <c r="E125" s="17">
        <v>88970</v>
      </c>
      <c r="F125" s="17">
        <v>325496</v>
      </c>
      <c r="G125" s="17">
        <v>109130</v>
      </c>
      <c r="H125" s="17">
        <v>424440</v>
      </c>
      <c r="I125" s="17">
        <v>64000</v>
      </c>
      <c r="J125" s="17">
        <v>13800</v>
      </c>
      <c r="K125" s="17">
        <v>17245.97</v>
      </c>
      <c r="L125" s="17">
        <v>613536.89</v>
      </c>
      <c r="M125" s="17">
        <v>12370.8</v>
      </c>
      <c r="N125" s="17">
        <v>113168</v>
      </c>
      <c r="O125" s="17">
        <v>480001.64</v>
      </c>
      <c r="P125" s="17">
        <v>2602143.4500000002</v>
      </c>
      <c r="Q125" s="18"/>
    </row>
    <row r="129" spans="16:16" x14ac:dyDescent="0.25">
      <c r="P129" s="10">
        <f>P125+УК!I36+'Жилье, питание, связь, аренда'!O74+'Непереносимые оплаты'!H20+'Оплаты в рамках 100 т.р.'!D21+График!O76+Согласовано!H43</f>
        <v>16985051.579999998</v>
      </c>
    </row>
  </sheetData>
  <autoFilter ref="A1:M66" xr:uid="{00000000-0009-0000-0000-000000000000}">
    <sortState ref="A2:M64">
      <sortCondition ref="C1:C64"/>
    </sortState>
  </autoFilter>
  <mergeCells count="1">
    <mergeCell ref="A73:Q73"/>
  </mergeCells>
  <pageMargins left="0.7" right="0.7" top="0.75" bottom="0.75" header="0.3" footer="0.3"/>
  <pageSetup paperSize="9" orientation="portrait" horizont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zoomScale="85" zoomScaleNormal="85" workbookViewId="0">
      <selection activeCell="J28" sqref="J28"/>
    </sheetView>
  </sheetViews>
  <sheetFormatPr defaultRowHeight="15" x14ac:dyDescent="0.25"/>
  <cols>
    <col min="1" max="9" width="19.28515625" style="9" customWidth="1"/>
    <col min="10" max="10" width="35.85546875" style="9" customWidth="1"/>
    <col min="11" max="12" width="19.28515625" style="9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4" t="s">
        <v>12</v>
      </c>
      <c r="B2" s="5">
        <v>10000</v>
      </c>
      <c r="C2" s="4" t="s">
        <v>354</v>
      </c>
      <c r="D2" s="4" t="s">
        <v>355</v>
      </c>
      <c r="E2" s="4" t="s">
        <v>356</v>
      </c>
      <c r="F2" s="4" t="s">
        <v>16</v>
      </c>
      <c r="G2" s="4" t="s">
        <v>17</v>
      </c>
      <c r="H2" s="4" t="s">
        <v>45</v>
      </c>
      <c r="I2" s="4" t="s">
        <v>19</v>
      </c>
      <c r="J2" s="4" t="s">
        <v>357</v>
      </c>
      <c r="K2" s="7">
        <v>46273</v>
      </c>
      <c r="L2" s="4" t="s">
        <v>358</v>
      </c>
    </row>
    <row r="3" spans="1:12" ht="15" customHeight="1" x14ac:dyDescent="0.25">
      <c r="A3" s="4" t="s">
        <v>12</v>
      </c>
      <c r="B3" s="5">
        <v>10000</v>
      </c>
      <c r="C3" s="4" t="s">
        <v>354</v>
      </c>
      <c r="D3" s="4" t="s">
        <v>359</v>
      </c>
      <c r="E3" s="4" t="s">
        <v>360</v>
      </c>
      <c r="F3" s="4" t="s">
        <v>16</v>
      </c>
      <c r="G3" s="4" t="s">
        <v>17</v>
      </c>
      <c r="H3" s="4" t="s">
        <v>45</v>
      </c>
      <c r="I3" s="4" t="s">
        <v>19</v>
      </c>
      <c r="J3" s="4" t="s">
        <v>361</v>
      </c>
      <c r="K3" s="7">
        <v>46280</v>
      </c>
      <c r="L3" s="4" t="s">
        <v>358</v>
      </c>
    </row>
    <row r="4" spans="1:12" ht="15" customHeight="1" x14ac:dyDescent="0.25">
      <c r="A4" s="4" t="s">
        <v>12</v>
      </c>
      <c r="B4" s="5">
        <v>1020000</v>
      </c>
      <c r="C4" s="4" t="s">
        <v>362</v>
      </c>
      <c r="D4" s="4" t="s">
        <v>363</v>
      </c>
      <c r="E4" s="4" t="s">
        <v>364</v>
      </c>
      <c r="F4" s="4" t="s">
        <v>16</v>
      </c>
      <c r="G4" s="4" t="s">
        <v>17</v>
      </c>
      <c r="H4" s="4" t="s">
        <v>131</v>
      </c>
      <c r="I4" s="4" t="s">
        <v>19</v>
      </c>
      <c r="J4" s="4" t="s">
        <v>365</v>
      </c>
      <c r="K4" s="7">
        <v>46282</v>
      </c>
      <c r="L4" s="4" t="s">
        <v>366</v>
      </c>
    </row>
    <row r="5" spans="1:12" ht="15" customHeight="1" x14ac:dyDescent="0.25">
      <c r="A5" s="4" t="s">
        <v>12</v>
      </c>
      <c r="B5" s="5">
        <v>65736</v>
      </c>
      <c r="C5" s="4" t="s">
        <v>367</v>
      </c>
      <c r="D5" s="4" t="s">
        <v>368</v>
      </c>
      <c r="E5" s="4" t="s">
        <v>369</v>
      </c>
      <c r="F5" s="4" t="s">
        <v>16</v>
      </c>
      <c r="G5" s="4" t="s">
        <v>17</v>
      </c>
      <c r="H5" s="4" t="s">
        <v>131</v>
      </c>
      <c r="I5" s="4" t="s">
        <v>19</v>
      </c>
      <c r="J5" s="4" t="s">
        <v>370</v>
      </c>
      <c r="K5" s="7">
        <v>46280</v>
      </c>
      <c r="L5" s="4" t="s">
        <v>358</v>
      </c>
    </row>
    <row r="6" spans="1:12" ht="15" customHeight="1" x14ac:dyDescent="0.25">
      <c r="A6" s="4" t="s">
        <v>12</v>
      </c>
      <c r="B6" s="5">
        <v>123200</v>
      </c>
      <c r="C6" s="4" t="s">
        <v>371</v>
      </c>
      <c r="D6" s="4" t="s">
        <v>372</v>
      </c>
      <c r="E6" s="4" t="s">
        <v>373</v>
      </c>
      <c r="F6" s="4" t="s">
        <v>16</v>
      </c>
      <c r="G6" s="4" t="s">
        <v>17</v>
      </c>
      <c r="H6" s="4" t="s">
        <v>25</v>
      </c>
      <c r="I6" s="4" t="s">
        <v>19</v>
      </c>
      <c r="J6" s="4" t="s">
        <v>374</v>
      </c>
      <c r="K6" s="7">
        <v>46280</v>
      </c>
      <c r="L6" s="4" t="s">
        <v>375</v>
      </c>
    </row>
    <row r="7" spans="1:12" ht="15" customHeight="1" x14ac:dyDescent="0.25">
      <c r="A7" s="4" t="s">
        <v>12</v>
      </c>
      <c r="B7" s="5">
        <v>54180.2</v>
      </c>
      <c r="C7" s="4" t="s">
        <v>376</v>
      </c>
      <c r="D7" s="4" t="s">
        <v>377</v>
      </c>
      <c r="E7" s="4" t="s">
        <v>378</v>
      </c>
      <c r="F7" s="4" t="s">
        <v>16</v>
      </c>
      <c r="G7" s="4" t="s">
        <v>17</v>
      </c>
      <c r="H7" s="4" t="s">
        <v>131</v>
      </c>
      <c r="I7" s="4" t="s">
        <v>19</v>
      </c>
      <c r="J7" s="4" t="s">
        <v>379</v>
      </c>
      <c r="K7" s="7">
        <v>46282</v>
      </c>
      <c r="L7" s="4" t="s">
        <v>366</v>
      </c>
    </row>
    <row r="8" spans="1:12" ht="15" customHeight="1" x14ac:dyDescent="0.25">
      <c r="A8" s="4" t="s">
        <v>380</v>
      </c>
      <c r="B8" s="5">
        <v>400000</v>
      </c>
      <c r="C8" s="4" t="s">
        <v>381</v>
      </c>
      <c r="D8" s="4" t="s">
        <v>382</v>
      </c>
      <c r="E8" s="4" t="s">
        <v>383</v>
      </c>
      <c r="F8" s="4" t="s">
        <v>16</v>
      </c>
      <c r="G8" s="4" t="s">
        <v>17</v>
      </c>
      <c r="H8" s="4" t="s">
        <v>25</v>
      </c>
      <c r="I8" s="4" t="s">
        <v>19</v>
      </c>
      <c r="J8" s="4" t="s">
        <v>384</v>
      </c>
      <c r="K8" s="7">
        <v>46276</v>
      </c>
      <c r="L8" s="4" t="s">
        <v>385</v>
      </c>
    </row>
    <row r="9" spans="1:12" ht="15" customHeight="1" x14ac:dyDescent="0.25">
      <c r="A9" s="4" t="s">
        <v>12</v>
      </c>
      <c r="B9" s="5">
        <v>6700</v>
      </c>
      <c r="C9" s="4" t="s">
        <v>386</v>
      </c>
      <c r="D9" s="4" t="s">
        <v>387</v>
      </c>
      <c r="E9" s="4" t="s">
        <v>388</v>
      </c>
      <c r="F9" s="4" t="s">
        <v>16</v>
      </c>
      <c r="G9" s="4" t="s">
        <v>17</v>
      </c>
      <c r="H9" s="4" t="s">
        <v>92</v>
      </c>
      <c r="I9" s="4" t="s">
        <v>19</v>
      </c>
      <c r="J9" s="4" t="s">
        <v>389</v>
      </c>
      <c r="K9" s="7">
        <v>46266</v>
      </c>
      <c r="L9" s="4" t="s">
        <v>375</v>
      </c>
    </row>
    <row r="10" spans="1:12" ht="15" customHeight="1" x14ac:dyDescent="0.25">
      <c r="A10" s="4" t="s">
        <v>12</v>
      </c>
      <c r="B10" s="5">
        <v>5100</v>
      </c>
      <c r="C10" s="4" t="s">
        <v>386</v>
      </c>
      <c r="D10" s="4" t="s">
        <v>390</v>
      </c>
      <c r="E10" s="4" t="s">
        <v>391</v>
      </c>
      <c r="F10" s="4" t="s">
        <v>16</v>
      </c>
      <c r="G10" s="4" t="s">
        <v>17</v>
      </c>
      <c r="H10" s="4" t="s">
        <v>92</v>
      </c>
      <c r="I10" s="4" t="s">
        <v>19</v>
      </c>
      <c r="J10" s="4" t="s">
        <v>392</v>
      </c>
      <c r="K10" s="7">
        <v>46282</v>
      </c>
      <c r="L10" s="4" t="s">
        <v>375</v>
      </c>
    </row>
    <row r="11" spans="1:12" ht="15" customHeight="1" x14ac:dyDescent="0.25">
      <c r="A11" s="4" t="s">
        <v>12</v>
      </c>
      <c r="B11" s="5">
        <v>9000</v>
      </c>
      <c r="C11" s="4" t="s">
        <v>393</v>
      </c>
      <c r="D11" s="4" t="s">
        <v>394</v>
      </c>
      <c r="E11" s="4" t="s">
        <v>395</v>
      </c>
      <c r="F11" s="4" t="s">
        <v>16</v>
      </c>
      <c r="G11" s="4" t="s">
        <v>17</v>
      </c>
      <c r="H11" s="4" t="s">
        <v>253</v>
      </c>
      <c r="I11" s="4" t="s">
        <v>19</v>
      </c>
      <c r="J11" s="4" t="s">
        <v>396</v>
      </c>
      <c r="K11" s="7">
        <v>46247</v>
      </c>
      <c r="L11" s="4" t="s">
        <v>397</v>
      </c>
    </row>
    <row r="12" spans="1:12" ht="15" customHeight="1" x14ac:dyDescent="0.25">
      <c r="A12" s="4" t="s">
        <v>12</v>
      </c>
      <c r="B12" s="5">
        <v>9000</v>
      </c>
      <c r="C12" s="4" t="s">
        <v>393</v>
      </c>
      <c r="D12" s="4" t="s">
        <v>398</v>
      </c>
      <c r="E12" s="4" t="s">
        <v>399</v>
      </c>
      <c r="F12" s="4" t="s">
        <v>16</v>
      </c>
      <c r="G12" s="4" t="s">
        <v>17</v>
      </c>
      <c r="H12" s="4" t="s">
        <v>253</v>
      </c>
      <c r="I12" s="4" t="s">
        <v>19</v>
      </c>
      <c r="J12" s="4" t="s">
        <v>400</v>
      </c>
      <c r="K12" s="7">
        <v>46280</v>
      </c>
      <c r="L12" s="4" t="s">
        <v>397</v>
      </c>
    </row>
    <row r="13" spans="1:12" ht="15" customHeight="1" x14ac:dyDescent="0.25">
      <c r="A13" s="4" t="s">
        <v>12</v>
      </c>
      <c r="B13" s="5">
        <v>6000</v>
      </c>
      <c r="C13" s="4" t="s">
        <v>393</v>
      </c>
      <c r="D13" s="4" t="s">
        <v>401</v>
      </c>
      <c r="E13" s="4" t="s">
        <v>402</v>
      </c>
      <c r="F13" s="4" t="s">
        <v>16</v>
      </c>
      <c r="G13" s="4" t="s">
        <v>17</v>
      </c>
      <c r="H13" s="4" t="s">
        <v>25</v>
      </c>
      <c r="I13" s="4" t="s">
        <v>19</v>
      </c>
      <c r="J13" s="4" t="s">
        <v>403</v>
      </c>
      <c r="K13" s="7">
        <v>46280</v>
      </c>
      <c r="L13" s="4" t="s">
        <v>397</v>
      </c>
    </row>
    <row r="14" spans="1:12" ht="15" customHeight="1" x14ac:dyDescent="0.25">
      <c r="A14" s="4" t="s">
        <v>12</v>
      </c>
      <c r="B14" s="5">
        <v>6000</v>
      </c>
      <c r="C14" s="4" t="s">
        <v>393</v>
      </c>
      <c r="D14" s="4" t="s">
        <v>404</v>
      </c>
      <c r="E14" s="4" t="s">
        <v>405</v>
      </c>
      <c r="F14" s="4" t="s">
        <v>16</v>
      </c>
      <c r="G14" s="4" t="s">
        <v>17</v>
      </c>
      <c r="H14" s="4" t="s">
        <v>102</v>
      </c>
      <c r="I14" s="4" t="s">
        <v>19</v>
      </c>
      <c r="J14" s="4" t="s">
        <v>406</v>
      </c>
      <c r="K14" s="7">
        <v>46280</v>
      </c>
      <c r="L14" s="4" t="s">
        <v>397</v>
      </c>
    </row>
    <row r="15" spans="1:12" ht="15" customHeight="1" x14ac:dyDescent="0.25">
      <c r="A15" s="4" t="s">
        <v>12</v>
      </c>
      <c r="B15" s="5">
        <v>9000</v>
      </c>
      <c r="C15" s="4" t="s">
        <v>393</v>
      </c>
      <c r="D15" s="4" t="s">
        <v>407</v>
      </c>
      <c r="E15" s="4" t="s">
        <v>408</v>
      </c>
      <c r="F15" s="4" t="s">
        <v>16</v>
      </c>
      <c r="G15" s="4" t="s">
        <v>17</v>
      </c>
      <c r="H15" s="4" t="s">
        <v>102</v>
      </c>
      <c r="I15" s="4" t="s">
        <v>19</v>
      </c>
      <c r="J15" s="4" t="s">
        <v>409</v>
      </c>
      <c r="K15" s="7">
        <v>46280</v>
      </c>
      <c r="L15" s="4" t="s">
        <v>397</v>
      </c>
    </row>
    <row r="16" spans="1:12" ht="15" customHeight="1" x14ac:dyDescent="0.25">
      <c r="A16" s="4" t="s">
        <v>12</v>
      </c>
      <c r="B16" s="5">
        <v>6000</v>
      </c>
      <c r="C16" s="4" t="s">
        <v>393</v>
      </c>
      <c r="D16" s="4" t="s">
        <v>410</v>
      </c>
      <c r="E16" s="4" t="s">
        <v>411</v>
      </c>
      <c r="F16" s="4" t="s">
        <v>16</v>
      </c>
      <c r="G16" s="4" t="s">
        <v>17</v>
      </c>
      <c r="H16" s="4" t="s">
        <v>102</v>
      </c>
      <c r="I16" s="4" t="s">
        <v>19</v>
      </c>
      <c r="J16" s="4" t="s">
        <v>412</v>
      </c>
      <c r="K16" s="7">
        <v>46280</v>
      </c>
      <c r="L16" s="4" t="s">
        <v>397</v>
      </c>
    </row>
    <row r="17" spans="1:12" ht="15" customHeight="1" x14ac:dyDescent="0.25">
      <c r="A17" s="4" t="s">
        <v>12</v>
      </c>
      <c r="B17" s="5">
        <v>6000</v>
      </c>
      <c r="C17" s="4" t="s">
        <v>393</v>
      </c>
      <c r="D17" s="4" t="s">
        <v>413</v>
      </c>
      <c r="E17" s="4" t="s">
        <v>414</v>
      </c>
      <c r="F17" s="4" t="s">
        <v>16</v>
      </c>
      <c r="G17" s="4" t="s">
        <v>17</v>
      </c>
      <c r="H17" s="4" t="s">
        <v>92</v>
      </c>
      <c r="I17" s="4" t="s">
        <v>19</v>
      </c>
      <c r="J17" s="4" t="s">
        <v>415</v>
      </c>
      <c r="K17" s="7">
        <v>46280</v>
      </c>
      <c r="L17" s="4" t="s">
        <v>397</v>
      </c>
    </row>
    <row r="18" spans="1:12" ht="15.75" customHeight="1" x14ac:dyDescent="0.25">
      <c r="A18" s="4" t="s">
        <v>12</v>
      </c>
      <c r="B18" s="5">
        <v>21000</v>
      </c>
      <c r="C18" s="4" t="s">
        <v>393</v>
      </c>
      <c r="D18" s="4" t="s">
        <v>416</v>
      </c>
      <c r="E18" s="4" t="s">
        <v>417</v>
      </c>
      <c r="F18" s="4" t="s">
        <v>16</v>
      </c>
      <c r="G18" s="4" t="s">
        <v>17</v>
      </c>
      <c r="H18" s="4" t="s">
        <v>18</v>
      </c>
      <c r="I18" s="4" t="s">
        <v>19</v>
      </c>
      <c r="J18" s="4" t="s">
        <v>418</v>
      </c>
      <c r="K18" s="7">
        <v>46280</v>
      </c>
      <c r="L18" s="4" t="s">
        <v>397</v>
      </c>
    </row>
    <row r="19" spans="1:12" ht="15.75" customHeight="1" x14ac:dyDescent="0.25">
      <c r="A19" s="4" t="s">
        <v>12</v>
      </c>
      <c r="B19" s="5">
        <v>303983.74</v>
      </c>
      <c r="C19" s="4" t="s">
        <v>419</v>
      </c>
      <c r="D19" s="4" t="s">
        <v>420</v>
      </c>
      <c r="E19" s="4" t="s">
        <v>421</v>
      </c>
      <c r="F19" s="4" t="s">
        <v>16</v>
      </c>
      <c r="G19" s="4" t="s">
        <v>17</v>
      </c>
      <c r="H19" s="4" t="s">
        <v>131</v>
      </c>
      <c r="I19" s="4" t="s">
        <v>19</v>
      </c>
      <c r="J19" s="4" t="s">
        <v>422</v>
      </c>
      <c r="K19" s="7">
        <v>46294</v>
      </c>
      <c r="L19" s="4" t="s">
        <v>423</v>
      </c>
    </row>
    <row r="20" spans="1:12" x14ac:dyDescent="0.25">
      <c r="B20" s="10"/>
    </row>
    <row r="24" spans="1:12" ht="18.75" x14ac:dyDescent="0.3">
      <c r="A24" s="19" t="s">
        <v>319</v>
      </c>
      <c r="B24" s="20"/>
      <c r="C24" s="20"/>
      <c r="D24" s="20"/>
      <c r="E24" s="20"/>
      <c r="F24" s="20"/>
      <c r="G24" s="20"/>
      <c r="H24" s="20"/>
      <c r="I24" s="20"/>
      <c r="J24" s="20"/>
    </row>
    <row r="26" spans="1:12" ht="30" x14ac:dyDescent="0.25">
      <c r="A26" s="13" t="s">
        <v>320</v>
      </c>
      <c r="B26" s="13" t="s">
        <v>253</v>
      </c>
      <c r="C26" s="13" t="s">
        <v>25</v>
      </c>
      <c r="D26" s="13" t="s">
        <v>102</v>
      </c>
      <c r="E26" s="13" t="s">
        <v>92</v>
      </c>
      <c r="F26" s="13" t="s">
        <v>45</v>
      </c>
      <c r="G26" s="13" t="s">
        <v>18</v>
      </c>
      <c r="H26" s="13" t="s">
        <v>131</v>
      </c>
      <c r="I26" s="13" t="s">
        <v>321</v>
      </c>
      <c r="J26" s="13" t="s">
        <v>322</v>
      </c>
    </row>
    <row r="27" spans="1:12" x14ac:dyDescent="0.25">
      <c r="A27" s="14" t="s">
        <v>354</v>
      </c>
      <c r="B27" s="15">
        <v>0</v>
      </c>
      <c r="C27" s="15">
        <v>0</v>
      </c>
      <c r="D27" s="15">
        <v>0</v>
      </c>
      <c r="E27" s="15">
        <v>0</v>
      </c>
      <c r="F27" s="15">
        <v>20000</v>
      </c>
      <c r="G27" s="15">
        <v>0</v>
      </c>
      <c r="H27" s="15">
        <v>0</v>
      </c>
      <c r="I27" s="15">
        <v>20000</v>
      </c>
      <c r="J27" s="14" t="s">
        <v>329</v>
      </c>
    </row>
    <row r="28" spans="1:12" x14ac:dyDescent="0.25">
      <c r="A28" s="14" t="s">
        <v>362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1020000</v>
      </c>
      <c r="I28" s="15">
        <v>1020000</v>
      </c>
      <c r="J28" s="14" t="s">
        <v>424</v>
      </c>
    </row>
    <row r="29" spans="1:12" x14ac:dyDescent="0.25">
      <c r="A29" s="14" t="s">
        <v>367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65736</v>
      </c>
      <c r="I29" s="15">
        <v>65736</v>
      </c>
      <c r="J29" s="14" t="s">
        <v>325</v>
      </c>
    </row>
    <row r="30" spans="1:12" x14ac:dyDescent="0.25">
      <c r="A30" s="14" t="s">
        <v>371</v>
      </c>
      <c r="B30" s="15">
        <v>0</v>
      </c>
      <c r="C30" s="15">
        <v>123200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123200</v>
      </c>
      <c r="J30" s="14" t="s">
        <v>331</v>
      </c>
    </row>
    <row r="31" spans="1:12" x14ac:dyDescent="0.25">
      <c r="A31" s="14" t="s">
        <v>376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54180.2</v>
      </c>
      <c r="I31" s="15">
        <v>54180.2</v>
      </c>
      <c r="J31" s="14" t="s">
        <v>352</v>
      </c>
    </row>
    <row r="32" spans="1:12" x14ac:dyDescent="0.25">
      <c r="A32" s="14" t="s">
        <v>381</v>
      </c>
      <c r="B32" s="15">
        <v>0</v>
      </c>
      <c r="C32" s="15">
        <v>400000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400000</v>
      </c>
      <c r="J32" s="14" t="s">
        <v>425</v>
      </c>
    </row>
    <row r="33" spans="1:10" x14ac:dyDescent="0.25">
      <c r="A33" s="14" t="s">
        <v>386</v>
      </c>
      <c r="B33" s="15">
        <v>0</v>
      </c>
      <c r="C33" s="15">
        <v>0</v>
      </c>
      <c r="D33" s="15">
        <v>0</v>
      </c>
      <c r="E33" s="15">
        <v>11800</v>
      </c>
      <c r="F33" s="15">
        <v>0</v>
      </c>
      <c r="G33" s="15">
        <v>0</v>
      </c>
      <c r="H33" s="15">
        <v>0</v>
      </c>
      <c r="I33" s="15">
        <v>11800</v>
      </c>
      <c r="J33" s="14" t="s">
        <v>426</v>
      </c>
    </row>
    <row r="34" spans="1:10" x14ac:dyDescent="0.25">
      <c r="A34" s="14" t="s">
        <v>393</v>
      </c>
      <c r="B34" s="15">
        <v>18000</v>
      </c>
      <c r="C34" s="15">
        <v>6000</v>
      </c>
      <c r="D34" s="15">
        <v>21000</v>
      </c>
      <c r="E34" s="15">
        <v>6000</v>
      </c>
      <c r="F34" s="15">
        <v>0</v>
      </c>
      <c r="G34" s="15">
        <v>21000</v>
      </c>
      <c r="H34" s="15">
        <v>0</v>
      </c>
      <c r="I34" s="15">
        <v>72000</v>
      </c>
      <c r="J34" s="14" t="s">
        <v>427</v>
      </c>
    </row>
    <row r="35" spans="1:10" x14ac:dyDescent="0.25">
      <c r="A35" s="14" t="s">
        <v>419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303983.74</v>
      </c>
      <c r="I35" s="15">
        <v>303983.74</v>
      </c>
      <c r="J35" s="14" t="s">
        <v>428</v>
      </c>
    </row>
    <row r="36" spans="1:10" x14ac:dyDescent="0.25">
      <c r="A36" s="16" t="s">
        <v>353</v>
      </c>
      <c r="B36" s="17">
        <v>18000</v>
      </c>
      <c r="C36" s="17">
        <v>529200</v>
      </c>
      <c r="D36" s="17">
        <v>21000</v>
      </c>
      <c r="E36" s="17">
        <v>17800</v>
      </c>
      <c r="F36" s="17">
        <v>20000</v>
      </c>
      <c r="G36" s="17">
        <v>21000</v>
      </c>
      <c r="H36" s="17">
        <v>1443899.94</v>
      </c>
      <c r="I36" s="17">
        <v>2070899.94</v>
      </c>
      <c r="J36" s="18"/>
    </row>
  </sheetData>
  <autoFilter ref="A1:L1" xr:uid="{00000000-0009-0000-0000-000001000000}">
    <sortState ref="A2:L20">
      <sortCondition ref="C1"/>
    </sortState>
  </autoFilter>
  <mergeCells count="1">
    <mergeCell ref="A24:J24"/>
  </mergeCells>
  <conditionalFormatting sqref="D1">
    <cfRule type="duplicateValues" dxfId="29" priority="9"/>
    <cfRule type="duplicateValues" dxfId="28" priority="10"/>
    <cfRule type="duplicateValues" dxfId="27" priority="11"/>
    <cfRule type="duplicateValues" dxfId="26" priority="12"/>
  </conditionalFormatting>
  <conditionalFormatting sqref="D18">
    <cfRule type="duplicateValues" dxfId="25" priority="1"/>
    <cfRule type="duplicateValues" dxfId="24" priority="2"/>
    <cfRule type="duplicateValues" dxfId="23" priority="3"/>
  </conditionalFormatting>
  <conditionalFormatting sqref="D2:D17">
    <cfRule type="duplicateValues" dxfId="22" priority="32"/>
    <cfRule type="duplicateValues" dxfId="21" priority="33"/>
    <cfRule type="duplicateValues" dxfId="20" priority="34"/>
  </conditionalFormatting>
  <pageMargins left="0.7" right="0.7" top="0.75" bottom="0.75" header="0.3" footer="0.3"/>
  <pageSetup paperSize="9" orientation="portrait" horizont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4"/>
  <sheetViews>
    <sheetView topLeftCell="A37" zoomScale="85" zoomScaleNormal="85" workbookViewId="0">
      <selection activeCell="O71" sqref="O71"/>
    </sheetView>
  </sheetViews>
  <sheetFormatPr defaultRowHeight="15" x14ac:dyDescent="0.25"/>
  <cols>
    <col min="1" max="1" width="52.7109375" style="9" customWidth="1"/>
    <col min="2" max="12" width="19.28515625" style="9" customWidth="1"/>
    <col min="13" max="13" width="11.7109375" bestFit="1" customWidth="1"/>
    <col min="14" max="14" width="10.28515625" bestFit="1" customWidth="1"/>
    <col min="15" max="15" width="11.7109375" bestFit="1" customWidth="1"/>
    <col min="16" max="16" width="19.5703125" bestFit="1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customHeight="1" x14ac:dyDescent="0.25">
      <c r="A2" s="4" t="s">
        <v>302</v>
      </c>
      <c r="B2" s="5">
        <v>25000</v>
      </c>
      <c r="C2" s="4" t="s">
        <v>429</v>
      </c>
      <c r="D2" s="4" t="s">
        <v>430</v>
      </c>
      <c r="E2" s="4" t="s">
        <v>431</v>
      </c>
      <c r="F2" s="4" t="s">
        <v>16</v>
      </c>
      <c r="G2" s="4" t="s">
        <v>17</v>
      </c>
      <c r="H2" s="4" t="s">
        <v>102</v>
      </c>
      <c r="I2" s="4" t="s">
        <v>19</v>
      </c>
      <c r="J2" s="4" t="s">
        <v>432</v>
      </c>
      <c r="K2" s="7">
        <v>46280</v>
      </c>
      <c r="L2" s="4" t="s">
        <v>433</v>
      </c>
    </row>
    <row r="3" spans="1:12" ht="16.5" customHeight="1" x14ac:dyDescent="0.25">
      <c r="A3" s="4" t="s">
        <v>302</v>
      </c>
      <c r="B3" s="5">
        <v>58000</v>
      </c>
      <c r="C3" s="4" t="s">
        <v>434</v>
      </c>
      <c r="D3" s="4" t="s">
        <v>435</v>
      </c>
      <c r="E3" s="4" t="s">
        <v>436</v>
      </c>
      <c r="F3" s="4" t="s">
        <v>16</v>
      </c>
      <c r="G3" s="4" t="s">
        <v>17</v>
      </c>
      <c r="H3" s="4" t="s">
        <v>131</v>
      </c>
      <c r="I3" s="4" t="s">
        <v>19</v>
      </c>
      <c r="J3" s="4" t="s">
        <v>437</v>
      </c>
      <c r="K3" s="7">
        <v>46281</v>
      </c>
      <c r="L3" s="4" t="s">
        <v>438</v>
      </c>
    </row>
    <row r="4" spans="1:12" ht="16.5" customHeight="1" x14ac:dyDescent="0.25">
      <c r="A4" s="4" t="s">
        <v>439</v>
      </c>
      <c r="B4" s="5">
        <v>8252</v>
      </c>
      <c r="C4" s="4" t="s">
        <v>440</v>
      </c>
      <c r="D4" s="4" t="s">
        <v>441</v>
      </c>
      <c r="E4" s="4" t="s">
        <v>442</v>
      </c>
      <c r="F4" s="4" t="s">
        <v>16</v>
      </c>
      <c r="G4" s="4" t="s">
        <v>17</v>
      </c>
      <c r="H4" s="4" t="s">
        <v>92</v>
      </c>
      <c r="I4" s="4" t="s">
        <v>19</v>
      </c>
      <c r="J4" s="4" t="s">
        <v>443</v>
      </c>
      <c r="K4" s="7">
        <v>46280</v>
      </c>
      <c r="L4" s="4" t="s">
        <v>444</v>
      </c>
    </row>
    <row r="5" spans="1:12" ht="16.5" customHeight="1" x14ac:dyDescent="0.25">
      <c r="A5" s="4" t="s">
        <v>302</v>
      </c>
      <c r="B5" s="5">
        <v>71332.06</v>
      </c>
      <c r="C5" s="4" t="s">
        <v>445</v>
      </c>
      <c r="D5" s="4" t="s">
        <v>446</v>
      </c>
      <c r="E5" s="4" t="s">
        <v>447</v>
      </c>
      <c r="F5" s="4" t="s">
        <v>16</v>
      </c>
      <c r="G5" s="4" t="s">
        <v>17</v>
      </c>
      <c r="H5" s="4" t="s">
        <v>131</v>
      </c>
      <c r="I5" s="4" t="s">
        <v>19</v>
      </c>
      <c r="J5" s="4" t="s">
        <v>448</v>
      </c>
      <c r="K5" s="7">
        <v>46282</v>
      </c>
      <c r="L5" s="4" t="s">
        <v>375</v>
      </c>
    </row>
    <row r="6" spans="1:12" ht="16.5" customHeight="1" x14ac:dyDescent="0.25">
      <c r="A6" s="4" t="s">
        <v>302</v>
      </c>
      <c r="B6" s="5">
        <v>40000</v>
      </c>
      <c r="C6" s="4" t="s">
        <v>449</v>
      </c>
      <c r="D6" s="4" t="s">
        <v>450</v>
      </c>
      <c r="E6" s="4" t="s">
        <v>451</v>
      </c>
      <c r="F6" s="4" t="s">
        <v>16</v>
      </c>
      <c r="G6" s="4" t="s">
        <v>17</v>
      </c>
      <c r="H6" s="4" t="s">
        <v>92</v>
      </c>
      <c r="I6" s="4" t="s">
        <v>19</v>
      </c>
      <c r="J6" s="4" t="s">
        <v>452</v>
      </c>
      <c r="K6" s="7">
        <v>46282</v>
      </c>
      <c r="L6" s="4" t="s">
        <v>453</v>
      </c>
    </row>
    <row r="7" spans="1:12" ht="16.5" customHeight="1" x14ac:dyDescent="0.25">
      <c r="A7" s="4" t="s">
        <v>302</v>
      </c>
      <c r="B7" s="5">
        <v>3720</v>
      </c>
      <c r="C7" s="4" t="s">
        <v>454</v>
      </c>
      <c r="D7" s="4" t="s">
        <v>455</v>
      </c>
      <c r="E7" s="4" t="s">
        <v>456</v>
      </c>
      <c r="F7" s="4" t="s">
        <v>16</v>
      </c>
      <c r="G7" s="4" t="s">
        <v>17</v>
      </c>
      <c r="H7" s="4" t="s">
        <v>102</v>
      </c>
      <c r="I7" s="4" t="s">
        <v>19</v>
      </c>
      <c r="J7" s="4" t="s">
        <v>457</v>
      </c>
      <c r="K7" s="7">
        <v>46280</v>
      </c>
      <c r="L7" s="4" t="s">
        <v>220</v>
      </c>
    </row>
    <row r="8" spans="1:12" ht="16.5" customHeight="1" x14ac:dyDescent="0.25">
      <c r="A8" s="4" t="s">
        <v>302</v>
      </c>
      <c r="B8" s="6">
        <v>613.07000000000005</v>
      </c>
      <c r="C8" s="4" t="s">
        <v>458</v>
      </c>
      <c r="D8" s="4" t="s">
        <v>459</v>
      </c>
      <c r="E8" s="4" t="s">
        <v>460</v>
      </c>
      <c r="F8" s="4" t="s">
        <v>16</v>
      </c>
      <c r="G8" s="4" t="s">
        <v>17</v>
      </c>
      <c r="H8" s="4" t="s">
        <v>102</v>
      </c>
      <c r="I8" s="4" t="s">
        <v>19</v>
      </c>
      <c r="J8" s="4" t="s">
        <v>461</v>
      </c>
      <c r="K8" s="7">
        <v>46280</v>
      </c>
      <c r="L8" s="4" t="s">
        <v>294</v>
      </c>
    </row>
    <row r="9" spans="1:12" ht="16.5" customHeight="1" x14ac:dyDescent="0.25">
      <c r="A9" s="4" t="s">
        <v>302</v>
      </c>
      <c r="B9" s="5">
        <v>1462</v>
      </c>
      <c r="C9" s="4" t="s">
        <v>458</v>
      </c>
      <c r="D9" s="4" t="s">
        <v>462</v>
      </c>
      <c r="E9" s="4" t="s">
        <v>463</v>
      </c>
      <c r="F9" s="4" t="s">
        <v>16</v>
      </c>
      <c r="G9" s="4" t="s">
        <v>17</v>
      </c>
      <c r="H9" s="4" t="s">
        <v>102</v>
      </c>
      <c r="I9" s="4" t="s">
        <v>19</v>
      </c>
      <c r="J9" s="4" t="s">
        <v>464</v>
      </c>
      <c r="K9" s="7">
        <v>46280</v>
      </c>
      <c r="L9" s="4" t="s">
        <v>294</v>
      </c>
    </row>
    <row r="10" spans="1:12" ht="16.5" customHeight="1" x14ac:dyDescent="0.25">
      <c r="A10" s="4" t="s">
        <v>302</v>
      </c>
      <c r="B10" s="5">
        <v>18458.599999999999</v>
      </c>
      <c r="C10" s="4" t="s">
        <v>465</v>
      </c>
      <c r="D10" s="4" t="s">
        <v>466</v>
      </c>
      <c r="E10" s="4" t="s">
        <v>467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468</v>
      </c>
      <c r="K10" s="7">
        <v>46280</v>
      </c>
      <c r="L10" s="4" t="s">
        <v>21</v>
      </c>
    </row>
    <row r="11" spans="1:12" ht="16.5" customHeight="1" x14ac:dyDescent="0.25">
      <c r="A11" s="4" t="s">
        <v>302</v>
      </c>
      <c r="B11" s="5">
        <v>231768.3</v>
      </c>
      <c r="C11" s="4" t="s">
        <v>469</v>
      </c>
      <c r="D11" s="4" t="s">
        <v>470</v>
      </c>
      <c r="E11" s="4" t="s">
        <v>471</v>
      </c>
      <c r="F11" s="4" t="s">
        <v>16</v>
      </c>
      <c r="G11" s="4" t="s">
        <v>17</v>
      </c>
      <c r="H11" s="4" t="s">
        <v>131</v>
      </c>
      <c r="I11" s="4" t="s">
        <v>19</v>
      </c>
      <c r="J11" s="4" t="s">
        <v>472</v>
      </c>
      <c r="K11" s="7">
        <v>46282</v>
      </c>
      <c r="L11" s="4" t="s">
        <v>375</v>
      </c>
    </row>
    <row r="12" spans="1:12" ht="16.5" customHeight="1" x14ac:dyDescent="0.25">
      <c r="A12" s="4" t="s">
        <v>302</v>
      </c>
      <c r="B12" s="5">
        <v>122096.77</v>
      </c>
      <c r="C12" s="4" t="s">
        <v>469</v>
      </c>
      <c r="D12" s="4" t="s">
        <v>473</v>
      </c>
      <c r="E12" s="4" t="s">
        <v>474</v>
      </c>
      <c r="F12" s="4" t="s">
        <v>16</v>
      </c>
      <c r="G12" s="4" t="s">
        <v>17</v>
      </c>
      <c r="H12" s="4" t="s">
        <v>131</v>
      </c>
      <c r="I12" s="4" t="s">
        <v>19</v>
      </c>
      <c r="J12" s="4" t="s">
        <v>475</v>
      </c>
      <c r="K12" s="7">
        <v>46282</v>
      </c>
      <c r="L12" s="4" t="s">
        <v>375</v>
      </c>
    </row>
    <row r="13" spans="1:12" ht="16.5" customHeight="1" x14ac:dyDescent="0.25">
      <c r="A13" s="4" t="s">
        <v>302</v>
      </c>
      <c r="B13" s="5">
        <v>10858</v>
      </c>
      <c r="C13" s="4" t="s">
        <v>476</v>
      </c>
      <c r="D13" s="4" t="s">
        <v>477</v>
      </c>
      <c r="E13" s="4" t="s">
        <v>478</v>
      </c>
      <c r="F13" s="4" t="s">
        <v>16</v>
      </c>
      <c r="G13" s="4" t="s">
        <v>17</v>
      </c>
      <c r="H13" s="4" t="s">
        <v>253</v>
      </c>
      <c r="I13" s="4" t="s">
        <v>19</v>
      </c>
      <c r="J13" s="4" t="s">
        <v>479</v>
      </c>
      <c r="K13" s="7">
        <v>46275</v>
      </c>
      <c r="L13" s="4" t="s">
        <v>375</v>
      </c>
    </row>
    <row r="14" spans="1:12" ht="16.5" customHeight="1" x14ac:dyDescent="0.25">
      <c r="A14" s="4" t="s">
        <v>302</v>
      </c>
      <c r="B14" s="5">
        <v>127776</v>
      </c>
      <c r="C14" s="4" t="s">
        <v>480</v>
      </c>
      <c r="D14" s="4" t="s">
        <v>481</v>
      </c>
      <c r="E14" s="4" t="s">
        <v>482</v>
      </c>
      <c r="F14" s="4" t="s">
        <v>16</v>
      </c>
      <c r="G14" s="4" t="s">
        <v>17</v>
      </c>
      <c r="H14" s="4" t="s">
        <v>79</v>
      </c>
      <c r="I14" s="4" t="s">
        <v>19</v>
      </c>
      <c r="J14" s="4" t="s">
        <v>483</v>
      </c>
      <c r="K14" s="7">
        <v>46273</v>
      </c>
      <c r="L14" s="4" t="s">
        <v>163</v>
      </c>
    </row>
    <row r="15" spans="1:12" ht="16.5" customHeight="1" x14ac:dyDescent="0.25">
      <c r="A15" s="4" t="s">
        <v>302</v>
      </c>
      <c r="B15" s="5">
        <v>9761.4</v>
      </c>
      <c r="C15" s="4" t="s">
        <v>484</v>
      </c>
      <c r="D15" s="4" t="s">
        <v>485</v>
      </c>
      <c r="E15" s="4" t="s">
        <v>486</v>
      </c>
      <c r="F15" s="4" t="s">
        <v>16</v>
      </c>
      <c r="G15" s="4" t="s">
        <v>17</v>
      </c>
      <c r="H15" s="4" t="s">
        <v>131</v>
      </c>
      <c r="I15" s="4" t="s">
        <v>19</v>
      </c>
      <c r="J15" s="4" t="s">
        <v>487</v>
      </c>
      <c r="K15" s="7">
        <v>46279</v>
      </c>
      <c r="L15" s="4" t="s">
        <v>375</v>
      </c>
    </row>
    <row r="16" spans="1:12" ht="16.5" customHeight="1" x14ac:dyDescent="0.25">
      <c r="A16" s="4" t="s">
        <v>302</v>
      </c>
      <c r="B16" s="6">
        <v>780</v>
      </c>
      <c r="C16" s="4" t="s">
        <v>488</v>
      </c>
      <c r="D16" s="4" t="s">
        <v>489</v>
      </c>
      <c r="E16" s="4" t="s">
        <v>490</v>
      </c>
      <c r="F16" s="4" t="s">
        <v>16</v>
      </c>
      <c r="G16" s="4" t="s">
        <v>17</v>
      </c>
      <c r="H16" s="4" t="s">
        <v>45</v>
      </c>
      <c r="I16" s="4" t="s">
        <v>19</v>
      </c>
      <c r="J16" s="4" t="s">
        <v>491</v>
      </c>
      <c r="K16" s="7">
        <v>46283</v>
      </c>
      <c r="L16" s="4" t="s">
        <v>375</v>
      </c>
    </row>
    <row r="17" spans="1:12" ht="16.5" customHeight="1" x14ac:dyDescent="0.25">
      <c r="A17" s="4" t="s">
        <v>302</v>
      </c>
      <c r="B17" s="6">
        <v>300</v>
      </c>
      <c r="C17" s="4" t="s">
        <v>488</v>
      </c>
      <c r="D17" s="4" t="s">
        <v>492</v>
      </c>
      <c r="E17" s="4" t="s">
        <v>493</v>
      </c>
      <c r="F17" s="4" t="s">
        <v>16</v>
      </c>
      <c r="G17" s="4" t="s">
        <v>17</v>
      </c>
      <c r="H17" s="4" t="s">
        <v>147</v>
      </c>
      <c r="I17" s="4" t="s">
        <v>19</v>
      </c>
      <c r="J17" s="4" t="s">
        <v>494</v>
      </c>
      <c r="K17" s="7">
        <v>46283</v>
      </c>
      <c r="L17" s="4" t="s">
        <v>375</v>
      </c>
    </row>
    <row r="18" spans="1:12" ht="16.5" customHeight="1" x14ac:dyDescent="0.25">
      <c r="A18" s="4" t="s">
        <v>439</v>
      </c>
      <c r="B18" s="5">
        <v>225000</v>
      </c>
      <c r="C18" s="4" t="s">
        <v>495</v>
      </c>
      <c r="D18" s="4" t="s">
        <v>496</v>
      </c>
      <c r="E18" s="4" t="s">
        <v>497</v>
      </c>
      <c r="F18" s="4" t="s">
        <v>16</v>
      </c>
      <c r="G18" s="4" t="s">
        <v>17</v>
      </c>
      <c r="H18" s="4" t="s">
        <v>498</v>
      </c>
      <c r="I18" s="4" t="s">
        <v>19</v>
      </c>
      <c r="J18" s="4" t="s">
        <v>499</v>
      </c>
      <c r="K18" s="7">
        <v>46269</v>
      </c>
      <c r="L18" s="4" t="s">
        <v>500</v>
      </c>
    </row>
    <row r="19" spans="1:12" ht="16.5" customHeight="1" x14ac:dyDescent="0.25">
      <c r="A19" s="4" t="s">
        <v>302</v>
      </c>
      <c r="B19" s="5">
        <v>45000</v>
      </c>
      <c r="C19" s="4" t="s">
        <v>501</v>
      </c>
      <c r="D19" s="4" t="s">
        <v>502</v>
      </c>
      <c r="E19" s="4" t="s">
        <v>503</v>
      </c>
      <c r="F19" s="4" t="s">
        <v>16</v>
      </c>
      <c r="G19" s="4" t="s">
        <v>17</v>
      </c>
      <c r="H19" s="4" t="s">
        <v>53</v>
      </c>
      <c r="I19" s="4" t="s">
        <v>19</v>
      </c>
      <c r="J19" s="4" t="s">
        <v>504</v>
      </c>
      <c r="K19" s="7">
        <v>46282</v>
      </c>
      <c r="L19" s="4" t="s">
        <v>505</v>
      </c>
    </row>
    <row r="20" spans="1:12" ht="16.5" customHeight="1" x14ac:dyDescent="0.25">
      <c r="A20" s="4" t="s">
        <v>302</v>
      </c>
      <c r="B20" s="5">
        <v>60000</v>
      </c>
      <c r="C20" s="4" t="s">
        <v>506</v>
      </c>
      <c r="D20" s="4" t="s">
        <v>507</v>
      </c>
      <c r="E20" s="4" t="s">
        <v>508</v>
      </c>
      <c r="F20" s="4" t="s">
        <v>16</v>
      </c>
      <c r="G20" s="4" t="s">
        <v>17</v>
      </c>
      <c r="H20" s="4" t="s">
        <v>53</v>
      </c>
      <c r="I20" s="4" t="s">
        <v>19</v>
      </c>
      <c r="J20" s="4" t="s">
        <v>509</v>
      </c>
      <c r="K20" s="7">
        <v>46282</v>
      </c>
      <c r="L20" s="4" t="s">
        <v>505</v>
      </c>
    </row>
    <row r="21" spans="1:12" ht="16.5" customHeight="1" x14ac:dyDescent="0.25">
      <c r="A21" s="4" t="s">
        <v>302</v>
      </c>
      <c r="B21" s="5">
        <v>25000</v>
      </c>
      <c r="C21" s="4" t="s">
        <v>510</v>
      </c>
      <c r="D21" s="4" t="s">
        <v>511</v>
      </c>
      <c r="E21" s="4" t="s">
        <v>512</v>
      </c>
      <c r="F21" s="4" t="s">
        <v>16</v>
      </c>
      <c r="G21" s="4" t="s">
        <v>17</v>
      </c>
      <c r="H21" s="4" t="s">
        <v>102</v>
      </c>
      <c r="I21" s="4" t="s">
        <v>19</v>
      </c>
      <c r="J21" s="4" t="s">
        <v>513</v>
      </c>
      <c r="K21" s="7">
        <v>46280</v>
      </c>
      <c r="L21" s="4" t="s">
        <v>433</v>
      </c>
    </row>
    <row r="22" spans="1:12" ht="16.5" customHeight="1" x14ac:dyDescent="0.25">
      <c r="A22" s="4" t="s">
        <v>302</v>
      </c>
      <c r="B22" s="5">
        <v>2071.2600000000002</v>
      </c>
      <c r="C22" s="4" t="s">
        <v>514</v>
      </c>
      <c r="D22" s="4" t="s">
        <v>515</v>
      </c>
      <c r="E22" s="4" t="s">
        <v>516</v>
      </c>
      <c r="F22" s="4" t="s">
        <v>16</v>
      </c>
      <c r="G22" s="4" t="s">
        <v>17</v>
      </c>
      <c r="H22" s="4" t="s">
        <v>79</v>
      </c>
      <c r="I22" s="4" t="s">
        <v>19</v>
      </c>
      <c r="J22" s="4" t="s">
        <v>517</v>
      </c>
      <c r="K22" s="7">
        <v>46275</v>
      </c>
      <c r="L22" s="4" t="s">
        <v>375</v>
      </c>
    </row>
    <row r="23" spans="1:12" ht="16.5" customHeight="1" x14ac:dyDescent="0.25">
      <c r="A23" s="4" t="s">
        <v>302</v>
      </c>
      <c r="B23" s="5">
        <v>10153.09</v>
      </c>
      <c r="C23" s="4" t="s">
        <v>518</v>
      </c>
      <c r="D23" s="4" t="s">
        <v>519</v>
      </c>
      <c r="E23" s="4" t="s">
        <v>520</v>
      </c>
      <c r="F23" s="4" t="s">
        <v>16</v>
      </c>
      <c r="G23" s="4" t="s">
        <v>17</v>
      </c>
      <c r="H23" s="4" t="s">
        <v>253</v>
      </c>
      <c r="I23" s="4" t="s">
        <v>19</v>
      </c>
      <c r="J23" s="4" t="s">
        <v>521</v>
      </c>
      <c r="K23" s="7">
        <v>46276</v>
      </c>
      <c r="L23" s="4" t="s">
        <v>375</v>
      </c>
    </row>
    <row r="24" spans="1:12" ht="16.5" customHeight="1" x14ac:dyDescent="0.25">
      <c r="A24" s="4" t="s">
        <v>302</v>
      </c>
      <c r="B24" s="5">
        <v>5547.71</v>
      </c>
      <c r="C24" s="4" t="s">
        <v>522</v>
      </c>
      <c r="D24" s="4" t="s">
        <v>523</v>
      </c>
      <c r="E24" s="4" t="s">
        <v>524</v>
      </c>
      <c r="F24" s="4" t="s">
        <v>16</v>
      </c>
      <c r="G24" s="4" t="s">
        <v>17</v>
      </c>
      <c r="H24" s="4" t="s">
        <v>102</v>
      </c>
      <c r="I24" s="4" t="s">
        <v>19</v>
      </c>
      <c r="J24" s="4" t="s">
        <v>525</v>
      </c>
      <c r="K24" s="7">
        <v>46280</v>
      </c>
      <c r="L24" s="4" t="s">
        <v>220</v>
      </c>
    </row>
    <row r="25" spans="1:12" ht="16.5" customHeight="1" x14ac:dyDescent="0.25">
      <c r="A25" s="4" t="s">
        <v>302</v>
      </c>
      <c r="B25" s="5">
        <v>50000</v>
      </c>
      <c r="C25" s="4" t="s">
        <v>526</v>
      </c>
      <c r="D25" s="4" t="s">
        <v>527</v>
      </c>
      <c r="E25" s="4" t="s">
        <v>528</v>
      </c>
      <c r="F25" s="4" t="s">
        <v>16</v>
      </c>
      <c r="G25" s="4" t="s">
        <v>17</v>
      </c>
      <c r="H25" s="4" t="s">
        <v>92</v>
      </c>
      <c r="I25" s="4" t="s">
        <v>19</v>
      </c>
      <c r="J25" s="4" t="s">
        <v>529</v>
      </c>
      <c r="K25" s="7">
        <v>46282</v>
      </c>
      <c r="L25" s="4" t="s">
        <v>453</v>
      </c>
    </row>
    <row r="26" spans="1:12" ht="16.5" customHeight="1" x14ac:dyDescent="0.25">
      <c r="A26" s="4" t="s">
        <v>302</v>
      </c>
      <c r="B26" s="5">
        <v>142324</v>
      </c>
      <c r="C26" s="4" t="s">
        <v>530</v>
      </c>
      <c r="D26" s="4" t="s">
        <v>531</v>
      </c>
      <c r="E26" s="4" t="s">
        <v>532</v>
      </c>
      <c r="F26" s="4" t="s">
        <v>16</v>
      </c>
      <c r="G26" s="4" t="s">
        <v>17</v>
      </c>
      <c r="H26" s="4" t="s">
        <v>53</v>
      </c>
      <c r="I26" s="4" t="s">
        <v>19</v>
      </c>
      <c r="J26" s="4" t="s">
        <v>533</v>
      </c>
      <c r="K26" s="7">
        <v>46282</v>
      </c>
      <c r="L26" s="4" t="s">
        <v>375</v>
      </c>
    </row>
    <row r="27" spans="1:12" ht="16.5" customHeight="1" x14ac:dyDescent="0.25">
      <c r="A27" s="4" t="s">
        <v>302</v>
      </c>
      <c r="B27" s="5">
        <v>1246211</v>
      </c>
      <c r="C27" s="4" t="s">
        <v>530</v>
      </c>
      <c r="D27" s="4" t="s">
        <v>534</v>
      </c>
      <c r="E27" s="4" t="s">
        <v>535</v>
      </c>
      <c r="F27" s="4" t="s">
        <v>16</v>
      </c>
      <c r="G27" s="4" t="s">
        <v>17</v>
      </c>
      <c r="H27" s="4" t="s">
        <v>53</v>
      </c>
      <c r="I27" s="4" t="s">
        <v>19</v>
      </c>
      <c r="J27" s="4" t="s">
        <v>536</v>
      </c>
      <c r="K27" s="7">
        <v>46279</v>
      </c>
      <c r="L27" s="4" t="s">
        <v>375</v>
      </c>
    </row>
    <row r="28" spans="1:12" ht="16.5" customHeight="1" x14ac:dyDescent="0.25">
      <c r="A28" s="4" t="s">
        <v>302</v>
      </c>
      <c r="B28" s="5">
        <v>41667</v>
      </c>
      <c r="C28" s="4" t="s">
        <v>537</v>
      </c>
      <c r="D28" s="4" t="s">
        <v>538</v>
      </c>
      <c r="E28" s="4" t="s">
        <v>539</v>
      </c>
      <c r="F28" s="4" t="s">
        <v>16</v>
      </c>
      <c r="G28" s="4" t="s">
        <v>17</v>
      </c>
      <c r="H28" s="4" t="s">
        <v>18</v>
      </c>
      <c r="I28" s="4" t="s">
        <v>19</v>
      </c>
      <c r="J28" s="4" t="s">
        <v>540</v>
      </c>
      <c r="K28" s="7">
        <v>46268</v>
      </c>
      <c r="L28" s="4" t="s">
        <v>541</v>
      </c>
    </row>
    <row r="29" spans="1:12" ht="16.5" customHeight="1" x14ac:dyDescent="0.25">
      <c r="A29" s="4" t="s">
        <v>302</v>
      </c>
      <c r="B29" s="5">
        <v>27799.05</v>
      </c>
      <c r="C29" s="4" t="s">
        <v>542</v>
      </c>
      <c r="D29" s="4" t="s">
        <v>543</v>
      </c>
      <c r="E29" s="4" t="s">
        <v>544</v>
      </c>
      <c r="F29" s="4" t="s">
        <v>16</v>
      </c>
      <c r="G29" s="4" t="s">
        <v>17</v>
      </c>
      <c r="H29" s="4" t="s">
        <v>25</v>
      </c>
      <c r="I29" s="4" t="s">
        <v>19</v>
      </c>
      <c r="J29" s="4" t="s">
        <v>545</v>
      </c>
      <c r="K29" s="7">
        <v>46280</v>
      </c>
      <c r="L29" s="4" t="s">
        <v>375</v>
      </c>
    </row>
    <row r="30" spans="1:12" ht="16.5" customHeight="1" x14ac:dyDescent="0.25">
      <c r="A30" s="4" t="s">
        <v>302</v>
      </c>
      <c r="B30" s="5">
        <v>30000</v>
      </c>
      <c r="C30" s="4" t="s">
        <v>546</v>
      </c>
      <c r="D30" s="4" t="s">
        <v>547</v>
      </c>
      <c r="E30" s="4" t="s">
        <v>548</v>
      </c>
      <c r="F30" s="4" t="s">
        <v>16</v>
      </c>
      <c r="G30" s="4" t="s">
        <v>17</v>
      </c>
      <c r="H30" s="4" t="s">
        <v>102</v>
      </c>
      <c r="I30" s="4" t="s">
        <v>19</v>
      </c>
      <c r="J30" s="4" t="s">
        <v>549</v>
      </c>
      <c r="K30" s="7">
        <v>46275</v>
      </c>
      <c r="L30" s="4" t="s">
        <v>433</v>
      </c>
    </row>
    <row r="31" spans="1:12" ht="16.5" customHeight="1" x14ac:dyDescent="0.25">
      <c r="A31" s="4" t="s">
        <v>302</v>
      </c>
      <c r="B31" s="5">
        <v>83422.5</v>
      </c>
      <c r="C31" s="4" t="s">
        <v>550</v>
      </c>
      <c r="D31" s="4" t="s">
        <v>551</v>
      </c>
      <c r="E31" s="4" t="s">
        <v>552</v>
      </c>
      <c r="F31" s="4" t="s">
        <v>16</v>
      </c>
      <c r="G31" s="4" t="s">
        <v>17</v>
      </c>
      <c r="H31" s="4" t="s">
        <v>102</v>
      </c>
      <c r="I31" s="4" t="s">
        <v>19</v>
      </c>
      <c r="J31" s="4" t="s">
        <v>553</v>
      </c>
      <c r="K31" s="7">
        <v>46261</v>
      </c>
      <c r="L31" s="4" t="s">
        <v>554</v>
      </c>
    </row>
    <row r="32" spans="1:12" ht="16.5" customHeight="1" x14ac:dyDescent="0.25">
      <c r="A32" s="4" t="s">
        <v>302</v>
      </c>
      <c r="B32" s="5">
        <v>150968</v>
      </c>
      <c r="C32" s="4" t="s">
        <v>555</v>
      </c>
      <c r="D32" s="4" t="s">
        <v>556</v>
      </c>
      <c r="E32" s="4" t="s">
        <v>557</v>
      </c>
      <c r="F32" s="4" t="s">
        <v>16</v>
      </c>
      <c r="G32" s="4" t="s">
        <v>17</v>
      </c>
      <c r="H32" s="4" t="s">
        <v>558</v>
      </c>
      <c r="I32" s="4" t="s">
        <v>19</v>
      </c>
      <c r="J32" s="4" t="s">
        <v>559</v>
      </c>
      <c r="K32" s="7">
        <v>46275</v>
      </c>
      <c r="L32" s="4" t="s">
        <v>560</v>
      </c>
    </row>
    <row r="33" spans="1:16" ht="16.5" customHeight="1" x14ac:dyDescent="0.25">
      <c r="A33" s="4" t="s">
        <v>302</v>
      </c>
      <c r="B33" s="5">
        <v>113330.7</v>
      </c>
      <c r="C33" s="4" t="s">
        <v>561</v>
      </c>
      <c r="D33" s="4" t="s">
        <v>562</v>
      </c>
      <c r="E33" s="4" t="s">
        <v>563</v>
      </c>
      <c r="F33" s="4" t="s">
        <v>16</v>
      </c>
      <c r="G33" s="4" t="s">
        <v>17</v>
      </c>
      <c r="H33" s="4" t="s">
        <v>102</v>
      </c>
      <c r="I33" s="4" t="s">
        <v>19</v>
      </c>
      <c r="J33" s="4" t="s">
        <v>564</v>
      </c>
      <c r="K33" s="7">
        <v>46261</v>
      </c>
      <c r="L33" s="4" t="s">
        <v>565</v>
      </c>
    </row>
    <row r="34" spans="1:16" ht="16.5" customHeight="1" x14ac:dyDescent="0.25">
      <c r="A34" s="4" t="s">
        <v>302</v>
      </c>
      <c r="B34" s="5">
        <v>404588.15</v>
      </c>
      <c r="C34" s="4" t="s">
        <v>566</v>
      </c>
      <c r="D34" s="4" t="s">
        <v>567</v>
      </c>
      <c r="E34" s="4" t="s">
        <v>568</v>
      </c>
      <c r="F34" s="4" t="s">
        <v>16</v>
      </c>
      <c r="G34" s="4" t="s">
        <v>17</v>
      </c>
      <c r="H34" s="4" t="s">
        <v>131</v>
      </c>
      <c r="I34" s="4" t="s">
        <v>19</v>
      </c>
      <c r="J34" s="4" t="s">
        <v>569</v>
      </c>
      <c r="K34" s="7">
        <v>46273</v>
      </c>
      <c r="L34" s="4" t="s">
        <v>375</v>
      </c>
    </row>
    <row r="35" spans="1:16" ht="16.5" customHeight="1" x14ac:dyDescent="0.25">
      <c r="A35" s="4" t="s">
        <v>302</v>
      </c>
      <c r="B35" s="5">
        <v>7990.35</v>
      </c>
      <c r="C35" s="4" t="s">
        <v>570</v>
      </c>
      <c r="D35" s="4" t="s">
        <v>571</v>
      </c>
      <c r="E35" s="4" t="s">
        <v>572</v>
      </c>
      <c r="F35" s="4" t="s">
        <v>16</v>
      </c>
      <c r="G35" s="4" t="s">
        <v>17</v>
      </c>
      <c r="H35" s="4" t="s">
        <v>175</v>
      </c>
      <c r="I35" s="4" t="s">
        <v>19</v>
      </c>
      <c r="J35" s="4" t="s">
        <v>573</v>
      </c>
      <c r="K35" s="7">
        <v>46275</v>
      </c>
      <c r="L35" s="4" t="s">
        <v>375</v>
      </c>
    </row>
    <row r="36" spans="1:16" ht="56.25" customHeight="1" x14ac:dyDescent="0.25">
      <c r="A36" s="4" t="s">
        <v>12</v>
      </c>
      <c r="B36" s="5">
        <v>131871</v>
      </c>
      <c r="C36" s="4" t="s">
        <v>574</v>
      </c>
      <c r="D36" s="4" t="s">
        <v>575</v>
      </c>
      <c r="E36" s="4" t="s">
        <v>576</v>
      </c>
      <c r="F36" s="4" t="s">
        <v>16</v>
      </c>
      <c r="G36" s="4" t="s">
        <v>17</v>
      </c>
      <c r="H36" s="4" t="s">
        <v>131</v>
      </c>
      <c r="I36" s="4" t="s">
        <v>19</v>
      </c>
      <c r="J36" s="4" t="s">
        <v>577</v>
      </c>
      <c r="K36" s="7">
        <v>46293</v>
      </c>
      <c r="L36" s="4" t="s">
        <v>375</v>
      </c>
    </row>
    <row r="40" spans="1:16" ht="18.75" x14ac:dyDescent="0.3">
      <c r="A40" s="19" t="s">
        <v>319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2" spans="1:16" ht="45" x14ac:dyDescent="0.25">
      <c r="A42" s="13" t="s">
        <v>320</v>
      </c>
      <c r="B42" s="13" t="s">
        <v>558</v>
      </c>
      <c r="C42" s="13" t="s">
        <v>253</v>
      </c>
      <c r="D42" s="13" t="s">
        <v>25</v>
      </c>
      <c r="E42" s="13" t="s">
        <v>102</v>
      </c>
      <c r="F42" s="13" t="s">
        <v>92</v>
      </c>
      <c r="G42" s="13" t="s">
        <v>175</v>
      </c>
      <c r="H42" s="13" t="s">
        <v>498</v>
      </c>
      <c r="I42" s="13" t="s">
        <v>45</v>
      </c>
      <c r="J42" s="13" t="s">
        <v>147</v>
      </c>
      <c r="K42" s="13" t="s">
        <v>18</v>
      </c>
      <c r="L42" s="13" t="s">
        <v>53</v>
      </c>
      <c r="M42" s="13" t="s">
        <v>131</v>
      </c>
      <c r="N42" s="13" t="s">
        <v>79</v>
      </c>
      <c r="O42" s="13" t="s">
        <v>321</v>
      </c>
      <c r="P42" s="13" t="s">
        <v>322</v>
      </c>
    </row>
    <row r="43" spans="1:16" x14ac:dyDescent="0.25">
      <c r="A43" s="14" t="s">
        <v>429</v>
      </c>
      <c r="B43" s="15">
        <v>0</v>
      </c>
      <c r="C43" s="15">
        <v>0</v>
      </c>
      <c r="D43" s="15">
        <v>0</v>
      </c>
      <c r="E43" s="15">
        <v>25000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25000</v>
      </c>
      <c r="P43" s="14" t="s">
        <v>578</v>
      </c>
    </row>
    <row r="44" spans="1:16" x14ac:dyDescent="0.25">
      <c r="A44" s="14" t="s">
        <v>434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58000</v>
      </c>
      <c r="N44" s="15">
        <v>0</v>
      </c>
      <c r="O44" s="15">
        <v>58000</v>
      </c>
      <c r="P44" s="14" t="s">
        <v>578</v>
      </c>
    </row>
    <row r="45" spans="1:16" x14ac:dyDescent="0.25">
      <c r="A45" s="14" t="s">
        <v>440</v>
      </c>
      <c r="B45" s="15">
        <v>0</v>
      </c>
      <c r="C45" s="15">
        <v>0</v>
      </c>
      <c r="D45" s="15">
        <v>0</v>
      </c>
      <c r="E45" s="15">
        <v>0</v>
      </c>
      <c r="F45" s="15">
        <v>8252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8252</v>
      </c>
      <c r="P45" s="14" t="s">
        <v>579</v>
      </c>
    </row>
    <row r="46" spans="1:16" x14ac:dyDescent="0.25">
      <c r="A46" s="14" t="s">
        <v>445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71332.06</v>
      </c>
      <c r="N46" s="15">
        <v>0</v>
      </c>
      <c r="O46" s="15">
        <v>71332.06</v>
      </c>
      <c r="P46" s="14" t="s">
        <v>335</v>
      </c>
    </row>
    <row r="47" spans="1:16" x14ac:dyDescent="0.25">
      <c r="A47" s="14" t="s">
        <v>449</v>
      </c>
      <c r="B47" s="15">
        <v>0</v>
      </c>
      <c r="C47" s="15">
        <v>0</v>
      </c>
      <c r="D47" s="15">
        <v>0</v>
      </c>
      <c r="E47" s="15">
        <v>0</v>
      </c>
      <c r="F47" s="15">
        <v>40000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40000</v>
      </c>
      <c r="P47" s="14" t="s">
        <v>578</v>
      </c>
    </row>
    <row r="48" spans="1:16" x14ac:dyDescent="0.25">
      <c r="A48" s="14" t="s">
        <v>454</v>
      </c>
      <c r="B48" s="15">
        <v>0</v>
      </c>
      <c r="C48" s="15">
        <v>0</v>
      </c>
      <c r="D48" s="15">
        <v>0</v>
      </c>
      <c r="E48" s="15">
        <v>3720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3720</v>
      </c>
      <c r="P48" s="14" t="s">
        <v>335</v>
      </c>
    </row>
    <row r="49" spans="1:16" x14ac:dyDescent="0.25">
      <c r="A49" s="14" t="s">
        <v>458</v>
      </c>
      <c r="B49" s="15">
        <v>0</v>
      </c>
      <c r="C49" s="15">
        <v>0</v>
      </c>
      <c r="D49" s="15">
        <v>0</v>
      </c>
      <c r="E49" s="15">
        <v>2075.0700000000002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2075.0700000000002</v>
      </c>
      <c r="P49" s="14" t="s">
        <v>580</v>
      </c>
    </row>
    <row r="50" spans="1:16" x14ac:dyDescent="0.25">
      <c r="A50" s="14" t="s">
        <v>465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18458.599999999999</v>
      </c>
      <c r="L50" s="15">
        <v>0</v>
      </c>
      <c r="M50" s="15">
        <v>0</v>
      </c>
      <c r="N50" s="15">
        <v>0</v>
      </c>
      <c r="O50" s="15">
        <v>18458.599999999999</v>
      </c>
      <c r="P50" s="14" t="s">
        <v>335</v>
      </c>
    </row>
    <row r="51" spans="1:16" x14ac:dyDescent="0.25">
      <c r="A51" s="14" t="s">
        <v>469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353865.07</v>
      </c>
      <c r="N51" s="15">
        <v>0</v>
      </c>
      <c r="O51" s="15">
        <v>353865.07</v>
      </c>
      <c r="P51" s="14" t="s">
        <v>335</v>
      </c>
    </row>
    <row r="52" spans="1:16" x14ac:dyDescent="0.25">
      <c r="A52" s="14" t="s">
        <v>574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131871</v>
      </c>
      <c r="N52" s="15">
        <v>0</v>
      </c>
      <c r="O52" s="15">
        <v>131871</v>
      </c>
      <c r="P52" s="14" t="s">
        <v>335</v>
      </c>
    </row>
    <row r="53" spans="1:16" x14ac:dyDescent="0.25">
      <c r="A53" s="14" t="s">
        <v>476</v>
      </c>
      <c r="B53" s="15">
        <v>0</v>
      </c>
      <c r="C53" s="15">
        <v>10858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10858</v>
      </c>
      <c r="P53" s="14" t="s">
        <v>335</v>
      </c>
    </row>
    <row r="54" spans="1:16" x14ac:dyDescent="0.25">
      <c r="A54" s="14" t="s">
        <v>480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127776</v>
      </c>
      <c r="O54" s="15">
        <v>127776</v>
      </c>
      <c r="P54" s="14" t="s">
        <v>581</v>
      </c>
    </row>
    <row r="55" spans="1:16" x14ac:dyDescent="0.25">
      <c r="A55" s="14" t="s">
        <v>484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9761.4</v>
      </c>
      <c r="N55" s="15">
        <v>0</v>
      </c>
      <c r="O55" s="15">
        <v>9761.4</v>
      </c>
      <c r="P55" s="14" t="s">
        <v>335</v>
      </c>
    </row>
    <row r="56" spans="1:16" x14ac:dyDescent="0.25">
      <c r="A56" s="14" t="s">
        <v>488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780</v>
      </c>
      <c r="J56" s="15">
        <v>300</v>
      </c>
      <c r="K56" s="15">
        <v>0</v>
      </c>
      <c r="L56" s="15">
        <v>0</v>
      </c>
      <c r="M56" s="15">
        <v>0</v>
      </c>
      <c r="N56" s="15">
        <v>0</v>
      </c>
      <c r="O56" s="15">
        <v>1080</v>
      </c>
      <c r="P56" s="14" t="s">
        <v>335</v>
      </c>
    </row>
    <row r="57" spans="1:16" x14ac:dyDescent="0.25">
      <c r="A57" s="14" t="s">
        <v>495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225000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225000</v>
      </c>
      <c r="P57" s="14" t="s">
        <v>579</v>
      </c>
    </row>
    <row r="58" spans="1:16" x14ac:dyDescent="0.25">
      <c r="A58" s="14" t="s">
        <v>530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1388535</v>
      </c>
      <c r="M58" s="15">
        <v>0</v>
      </c>
      <c r="N58" s="15">
        <v>0</v>
      </c>
      <c r="O58" s="15">
        <v>1388535</v>
      </c>
      <c r="P58" s="14" t="s">
        <v>335</v>
      </c>
    </row>
    <row r="59" spans="1:16" x14ac:dyDescent="0.25">
      <c r="A59" s="14" t="s">
        <v>501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45000</v>
      </c>
      <c r="M59" s="15">
        <v>0</v>
      </c>
      <c r="N59" s="15">
        <v>0</v>
      </c>
      <c r="O59" s="15">
        <v>45000</v>
      </c>
      <c r="P59" s="14" t="s">
        <v>578</v>
      </c>
    </row>
    <row r="60" spans="1:16" x14ac:dyDescent="0.25">
      <c r="A60" s="14" t="s">
        <v>506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60000</v>
      </c>
      <c r="M60" s="15">
        <v>0</v>
      </c>
      <c r="N60" s="15">
        <v>0</v>
      </c>
      <c r="O60" s="15">
        <v>60000</v>
      </c>
      <c r="P60" s="14" t="s">
        <v>578</v>
      </c>
    </row>
    <row r="61" spans="1:16" x14ac:dyDescent="0.25">
      <c r="A61" s="14" t="s">
        <v>510</v>
      </c>
      <c r="B61" s="15">
        <v>0</v>
      </c>
      <c r="C61" s="15">
        <v>0</v>
      </c>
      <c r="D61" s="15">
        <v>0</v>
      </c>
      <c r="E61" s="15">
        <v>25000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25000</v>
      </c>
      <c r="P61" s="14" t="s">
        <v>578</v>
      </c>
    </row>
    <row r="62" spans="1:16" x14ac:dyDescent="0.25">
      <c r="A62" s="14" t="s">
        <v>514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2071.2600000000002</v>
      </c>
      <c r="O62" s="15">
        <v>2071.2600000000002</v>
      </c>
      <c r="P62" s="14" t="s">
        <v>335</v>
      </c>
    </row>
    <row r="63" spans="1:16" x14ac:dyDescent="0.25">
      <c r="A63" s="14" t="s">
        <v>518</v>
      </c>
      <c r="B63" s="15">
        <v>0</v>
      </c>
      <c r="C63" s="15">
        <v>10153.09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10153.09</v>
      </c>
      <c r="P63" s="14" t="s">
        <v>335</v>
      </c>
    </row>
    <row r="64" spans="1:16" x14ac:dyDescent="0.25">
      <c r="A64" s="14" t="s">
        <v>522</v>
      </c>
      <c r="B64" s="15">
        <v>0</v>
      </c>
      <c r="C64" s="15">
        <v>0</v>
      </c>
      <c r="D64" s="15">
        <v>0</v>
      </c>
      <c r="E64" s="15">
        <v>5547.71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5547.71</v>
      </c>
      <c r="P64" s="14" t="s">
        <v>335</v>
      </c>
    </row>
    <row r="65" spans="1:16" x14ac:dyDescent="0.25">
      <c r="A65" s="14" t="s">
        <v>526</v>
      </c>
      <c r="B65" s="15">
        <v>0</v>
      </c>
      <c r="C65" s="15">
        <v>0</v>
      </c>
      <c r="D65" s="15">
        <v>0</v>
      </c>
      <c r="E65" s="15">
        <v>0</v>
      </c>
      <c r="F65" s="15">
        <v>50000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50000</v>
      </c>
      <c r="P65" s="14" t="s">
        <v>578</v>
      </c>
    </row>
    <row r="66" spans="1:16" x14ac:dyDescent="0.25">
      <c r="A66" s="14" t="s">
        <v>537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41667</v>
      </c>
      <c r="L66" s="15">
        <v>0</v>
      </c>
      <c r="M66" s="15">
        <v>0</v>
      </c>
      <c r="N66" s="15">
        <v>0</v>
      </c>
      <c r="O66" s="15">
        <v>41667</v>
      </c>
      <c r="P66" s="14" t="s">
        <v>578</v>
      </c>
    </row>
    <row r="67" spans="1:16" x14ac:dyDescent="0.25">
      <c r="A67" s="14" t="s">
        <v>542</v>
      </c>
      <c r="B67" s="15">
        <v>0</v>
      </c>
      <c r="C67" s="15">
        <v>0</v>
      </c>
      <c r="D67" s="15">
        <v>27799.05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27799.05</v>
      </c>
      <c r="P67" s="14" t="s">
        <v>335</v>
      </c>
    </row>
    <row r="68" spans="1:16" x14ac:dyDescent="0.25">
      <c r="A68" s="14" t="s">
        <v>546</v>
      </c>
      <c r="B68" s="15">
        <v>0</v>
      </c>
      <c r="C68" s="15">
        <v>0</v>
      </c>
      <c r="D68" s="15">
        <v>0</v>
      </c>
      <c r="E68" s="15">
        <v>30000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30000</v>
      </c>
      <c r="P68" s="14" t="s">
        <v>578</v>
      </c>
    </row>
    <row r="69" spans="1:16" x14ac:dyDescent="0.25">
      <c r="A69" s="14" t="s">
        <v>550</v>
      </c>
      <c r="B69" s="15">
        <v>0</v>
      </c>
      <c r="C69" s="15">
        <v>0</v>
      </c>
      <c r="D69" s="15">
        <v>0</v>
      </c>
      <c r="E69" s="15">
        <v>83422.5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83422.5</v>
      </c>
      <c r="P69" s="14" t="s">
        <v>582</v>
      </c>
    </row>
    <row r="70" spans="1:16" x14ac:dyDescent="0.25">
      <c r="A70" s="14" t="s">
        <v>583</v>
      </c>
      <c r="B70" s="15">
        <v>150968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150968</v>
      </c>
      <c r="P70" s="14" t="s">
        <v>578</v>
      </c>
    </row>
    <row r="71" spans="1:16" x14ac:dyDescent="0.25">
      <c r="A71" s="14" t="s">
        <v>561</v>
      </c>
      <c r="B71" s="15">
        <v>0</v>
      </c>
      <c r="C71" s="15">
        <v>0</v>
      </c>
      <c r="D71" s="15">
        <v>0</v>
      </c>
      <c r="E71" s="15">
        <v>113330.7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113330.7</v>
      </c>
      <c r="P71" s="14" t="s">
        <v>578</v>
      </c>
    </row>
    <row r="72" spans="1:16" x14ac:dyDescent="0.25">
      <c r="A72" s="14" t="s">
        <v>566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404588.15</v>
      </c>
      <c r="N72" s="15">
        <v>0</v>
      </c>
      <c r="O72" s="15">
        <v>404588.15</v>
      </c>
      <c r="P72" s="14" t="s">
        <v>331</v>
      </c>
    </row>
    <row r="73" spans="1:16" x14ac:dyDescent="0.25">
      <c r="A73" s="14" t="s">
        <v>570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7990.35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7990.35</v>
      </c>
      <c r="P73" s="14" t="s">
        <v>335</v>
      </c>
    </row>
    <row r="74" spans="1:16" x14ac:dyDescent="0.25">
      <c r="A74" s="16" t="s">
        <v>353</v>
      </c>
      <c r="B74" s="17">
        <v>150968</v>
      </c>
      <c r="C74" s="17">
        <v>21011.09</v>
      </c>
      <c r="D74" s="17">
        <v>27799.05</v>
      </c>
      <c r="E74" s="17">
        <v>288095.98</v>
      </c>
      <c r="F74" s="17">
        <v>98252</v>
      </c>
      <c r="G74" s="17">
        <v>7990.35</v>
      </c>
      <c r="H74" s="17">
        <v>225000</v>
      </c>
      <c r="I74" s="17">
        <v>780</v>
      </c>
      <c r="J74" s="17">
        <v>300</v>
      </c>
      <c r="K74" s="17">
        <v>60125.599999999999</v>
      </c>
      <c r="L74" s="17">
        <v>1493535</v>
      </c>
      <c r="M74" s="17">
        <v>1029417.68</v>
      </c>
      <c r="N74" s="17">
        <v>129847.26</v>
      </c>
      <c r="O74" s="17">
        <v>3533122.01</v>
      </c>
      <c r="P74" s="18"/>
    </row>
  </sheetData>
  <autoFilter ref="A1:M1" xr:uid="{00000000-0009-0000-0000-000002000000}">
    <sortState ref="A2:L35">
      <sortCondition ref="C1"/>
    </sortState>
  </autoFilter>
  <mergeCells count="1">
    <mergeCell ref="A40:P40"/>
  </mergeCells>
  <conditionalFormatting sqref="D1">
    <cfRule type="duplicateValues" dxfId="19" priority="11"/>
    <cfRule type="duplicateValues" dxfId="18" priority="12"/>
    <cfRule type="duplicateValues" dxfId="17" priority="13"/>
    <cfRule type="duplicateValues" dxfId="16" priority="14"/>
  </conditionalFormatting>
  <conditionalFormatting sqref="D2:D35">
    <cfRule type="duplicateValues" dxfId="15" priority="29"/>
    <cfRule type="duplicateValues" dxfId="14" priority="30"/>
    <cfRule type="duplicateValues" dxfId="13" priority="31"/>
  </conditionalFormatting>
  <conditionalFormatting sqref="D36">
    <cfRule type="duplicateValues" dxfId="12" priority="1"/>
    <cfRule type="duplicateValues" dxfId="11" priority="2"/>
    <cfRule type="duplicateValues" dxfId="10" priority="3"/>
  </conditionalFormatting>
  <pageMargins left="0.7" right="0.7" top="0.75" bottom="0.75" header="0.3" footer="0.3"/>
  <pageSetup paperSize="9" orientation="portrait" horizont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="85" zoomScaleNormal="85" workbookViewId="0">
      <selection activeCell="H27" sqref="H27"/>
    </sheetView>
  </sheetViews>
  <sheetFormatPr defaultRowHeight="15" x14ac:dyDescent="0.25"/>
  <cols>
    <col min="1" max="1" width="38.85546875" style="9" customWidth="1"/>
    <col min="2" max="2" width="19.28515625" style="9" customWidth="1"/>
    <col min="3" max="3" width="38.85546875" style="9" bestFit="1" customWidth="1"/>
    <col min="4" max="12" width="19.28515625" style="9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customHeight="1" x14ac:dyDescent="0.25">
      <c r="A2" s="4" t="s">
        <v>584</v>
      </c>
      <c r="B2" s="5">
        <v>112331.01</v>
      </c>
      <c r="C2" s="4" t="s">
        <v>585</v>
      </c>
      <c r="D2" s="4" t="s">
        <v>586</v>
      </c>
      <c r="E2" s="4" t="s">
        <v>587</v>
      </c>
      <c r="F2" s="4" t="s">
        <v>16</v>
      </c>
      <c r="G2" s="4" t="s">
        <v>17</v>
      </c>
      <c r="H2" s="4" t="s">
        <v>25</v>
      </c>
      <c r="I2" s="4" t="s">
        <v>19</v>
      </c>
      <c r="J2" s="4" t="s">
        <v>588</v>
      </c>
      <c r="K2" s="7">
        <v>46282</v>
      </c>
      <c r="L2" s="4" t="s">
        <v>589</v>
      </c>
    </row>
    <row r="3" spans="1:12" ht="12.75" customHeight="1" x14ac:dyDescent="0.25">
      <c r="A3" s="4" t="s">
        <v>584</v>
      </c>
      <c r="B3" s="5">
        <v>130354</v>
      </c>
      <c r="C3" s="4" t="s">
        <v>585</v>
      </c>
      <c r="D3" s="4" t="s">
        <v>590</v>
      </c>
      <c r="E3" s="4" t="s">
        <v>591</v>
      </c>
      <c r="F3" s="4" t="s">
        <v>16</v>
      </c>
      <c r="G3" s="4" t="s">
        <v>17</v>
      </c>
      <c r="H3" s="4" t="s">
        <v>102</v>
      </c>
      <c r="I3" s="4" t="s">
        <v>19</v>
      </c>
      <c r="J3" s="4" t="s">
        <v>592</v>
      </c>
      <c r="K3" s="7">
        <v>46282</v>
      </c>
      <c r="L3" s="4" t="s">
        <v>589</v>
      </c>
    </row>
    <row r="4" spans="1:12" ht="12.75" customHeight="1" x14ac:dyDescent="0.25">
      <c r="A4" s="4" t="s">
        <v>302</v>
      </c>
      <c r="B4" s="5">
        <v>7840.5</v>
      </c>
      <c r="C4" s="4" t="s">
        <v>593</v>
      </c>
      <c r="D4" s="4" t="s">
        <v>594</v>
      </c>
      <c r="E4" s="4" t="s">
        <v>595</v>
      </c>
      <c r="F4" s="4" t="s">
        <v>16</v>
      </c>
      <c r="G4" s="4" t="s">
        <v>17</v>
      </c>
      <c r="H4" s="4" t="s">
        <v>102</v>
      </c>
      <c r="I4" s="4" t="s">
        <v>19</v>
      </c>
      <c r="J4" s="4" t="s">
        <v>596</v>
      </c>
      <c r="K4" s="7">
        <v>46281</v>
      </c>
      <c r="L4" s="4" t="s">
        <v>294</v>
      </c>
    </row>
    <row r="5" spans="1:12" ht="12.75" customHeight="1" x14ac:dyDescent="0.25">
      <c r="A5" s="4" t="s">
        <v>597</v>
      </c>
      <c r="B5" s="5">
        <v>117340.34</v>
      </c>
      <c r="C5" s="4" t="s">
        <v>598</v>
      </c>
      <c r="D5" s="4" t="s">
        <v>599</v>
      </c>
      <c r="E5" s="4" t="s">
        <v>600</v>
      </c>
      <c r="F5" s="4" t="s">
        <v>16</v>
      </c>
      <c r="G5" s="4" t="s">
        <v>17</v>
      </c>
      <c r="H5" s="4" t="s">
        <v>92</v>
      </c>
      <c r="I5" s="4" t="s">
        <v>19</v>
      </c>
      <c r="J5" s="4" t="s">
        <v>601</v>
      </c>
      <c r="K5" s="7">
        <v>46282</v>
      </c>
      <c r="L5" s="4" t="s">
        <v>602</v>
      </c>
    </row>
    <row r="6" spans="1:12" ht="12.75" customHeight="1" x14ac:dyDescent="0.25">
      <c r="A6" s="4" t="s">
        <v>584</v>
      </c>
      <c r="B6" s="5">
        <v>119458.01</v>
      </c>
      <c r="C6" s="4" t="s">
        <v>585</v>
      </c>
      <c r="D6" s="4" t="s">
        <v>603</v>
      </c>
      <c r="E6" s="4" t="s">
        <v>604</v>
      </c>
      <c r="F6" s="4" t="s">
        <v>16</v>
      </c>
      <c r="G6" s="4" t="s">
        <v>17</v>
      </c>
      <c r="H6" s="4" t="s">
        <v>498</v>
      </c>
      <c r="I6" s="4" t="s">
        <v>19</v>
      </c>
      <c r="J6" s="4" t="s">
        <v>605</v>
      </c>
      <c r="K6" s="7">
        <v>46282</v>
      </c>
      <c r="L6" s="4" t="s">
        <v>589</v>
      </c>
    </row>
    <row r="7" spans="1:12" ht="12.75" customHeight="1" x14ac:dyDescent="0.25">
      <c r="A7" s="4" t="s">
        <v>12</v>
      </c>
      <c r="B7" s="5">
        <v>1318.18</v>
      </c>
      <c r="C7" s="4" t="s">
        <v>606</v>
      </c>
      <c r="D7" s="4" t="s">
        <v>607</v>
      </c>
      <c r="E7" s="4" t="s">
        <v>608</v>
      </c>
      <c r="F7" s="4" t="s">
        <v>16</v>
      </c>
      <c r="G7" s="4" t="s">
        <v>17</v>
      </c>
      <c r="H7" s="4" t="s">
        <v>609</v>
      </c>
      <c r="I7" s="4" t="s">
        <v>19</v>
      </c>
      <c r="J7" s="4" t="s">
        <v>610</v>
      </c>
      <c r="K7" s="7">
        <v>46281</v>
      </c>
      <c r="L7" s="4" t="s">
        <v>611</v>
      </c>
    </row>
    <row r="8" spans="1:12" ht="12.75" customHeight="1" x14ac:dyDescent="0.25">
      <c r="A8" s="4" t="s">
        <v>584</v>
      </c>
      <c r="B8" s="5">
        <v>253665.06</v>
      </c>
      <c r="C8" s="4" t="s">
        <v>585</v>
      </c>
      <c r="D8" s="4" t="s">
        <v>612</v>
      </c>
      <c r="E8" s="4" t="s">
        <v>613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614</v>
      </c>
      <c r="K8" s="7">
        <v>46282</v>
      </c>
      <c r="L8" s="4" t="s">
        <v>589</v>
      </c>
    </row>
    <row r="9" spans="1:12" x14ac:dyDescent="0.25">
      <c r="B9" s="10"/>
    </row>
    <row r="13" spans="1:12" ht="18.75" x14ac:dyDescent="0.3">
      <c r="A13" s="19" t="s">
        <v>319</v>
      </c>
      <c r="B13" s="20"/>
      <c r="C13" s="20"/>
      <c r="D13" s="20"/>
      <c r="E13" s="20"/>
      <c r="F13" s="20"/>
      <c r="G13" s="20"/>
      <c r="H13" s="20"/>
      <c r="I13" s="20"/>
    </row>
    <row r="15" spans="1:12" x14ac:dyDescent="0.25">
      <c r="A15" s="13" t="s">
        <v>320</v>
      </c>
      <c r="B15" s="13" t="s">
        <v>25</v>
      </c>
      <c r="C15" s="13" t="s">
        <v>102</v>
      </c>
      <c r="D15" s="13" t="s">
        <v>92</v>
      </c>
      <c r="E15" s="13" t="s">
        <v>498</v>
      </c>
      <c r="F15" s="13" t="s">
        <v>609</v>
      </c>
      <c r="G15" s="13" t="s">
        <v>18</v>
      </c>
      <c r="H15" s="13" t="s">
        <v>321</v>
      </c>
      <c r="I15" s="13" t="s">
        <v>322</v>
      </c>
    </row>
    <row r="16" spans="1:12" x14ac:dyDescent="0.25">
      <c r="A16" s="14" t="s">
        <v>585</v>
      </c>
      <c r="B16" s="15">
        <v>112331.01</v>
      </c>
      <c r="C16" s="15">
        <v>130354</v>
      </c>
      <c r="D16" s="15">
        <v>0</v>
      </c>
      <c r="E16" s="15">
        <v>119458.01</v>
      </c>
      <c r="F16" s="15">
        <v>0</v>
      </c>
      <c r="G16" s="15">
        <v>253665.06</v>
      </c>
      <c r="H16" s="15">
        <v>615808.08000000007</v>
      </c>
      <c r="I16" s="14" t="s">
        <v>615</v>
      </c>
    </row>
    <row r="17" spans="1:9" x14ac:dyDescent="0.25">
      <c r="A17" s="14" t="s">
        <v>606</v>
      </c>
      <c r="B17" s="15">
        <v>0</v>
      </c>
      <c r="C17" s="15">
        <v>0</v>
      </c>
      <c r="D17" s="15">
        <v>0</v>
      </c>
      <c r="E17" s="15">
        <v>0</v>
      </c>
      <c r="F17" s="15">
        <v>1318.18</v>
      </c>
      <c r="G17" s="15">
        <v>0</v>
      </c>
      <c r="H17" s="15">
        <v>1318.18</v>
      </c>
      <c r="I17" s="14" t="s">
        <v>578</v>
      </c>
    </row>
    <row r="18" spans="1:9" x14ac:dyDescent="0.25">
      <c r="A18" s="14" t="s">
        <v>598</v>
      </c>
      <c r="B18" s="15">
        <v>0</v>
      </c>
      <c r="C18" s="15">
        <v>0</v>
      </c>
      <c r="D18" s="15">
        <v>117340.34</v>
      </c>
      <c r="E18" s="15">
        <v>0</v>
      </c>
      <c r="F18" s="15">
        <v>0</v>
      </c>
      <c r="G18" s="15">
        <v>0</v>
      </c>
      <c r="H18" s="15">
        <v>117340.34</v>
      </c>
      <c r="I18" s="14" t="s">
        <v>616</v>
      </c>
    </row>
    <row r="19" spans="1:9" x14ac:dyDescent="0.25">
      <c r="A19" s="14" t="s">
        <v>593</v>
      </c>
      <c r="B19" s="15">
        <v>0</v>
      </c>
      <c r="C19" s="15">
        <v>7840.5</v>
      </c>
      <c r="D19" s="15">
        <v>0</v>
      </c>
      <c r="E19" s="15">
        <v>0</v>
      </c>
      <c r="F19" s="15">
        <v>0</v>
      </c>
      <c r="G19" s="15">
        <v>0</v>
      </c>
      <c r="H19" s="15">
        <v>7840.5</v>
      </c>
      <c r="I19" s="14" t="s">
        <v>617</v>
      </c>
    </row>
    <row r="20" spans="1:9" x14ac:dyDescent="0.25">
      <c r="A20" s="16" t="s">
        <v>353</v>
      </c>
      <c r="B20" s="17">
        <v>112331.01</v>
      </c>
      <c r="C20" s="17">
        <v>138194.5</v>
      </c>
      <c r="D20" s="17">
        <v>117340.34</v>
      </c>
      <c r="E20" s="17">
        <v>119458.01</v>
      </c>
      <c r="F20" s="17">
        <v>1318.18</v>
      </c>
      <c r="G20" s="17">
        <v>253665.06</v>
      </c>
      <c r="H20" s="17">
        <v>742307.10000000009</v>
      </c>
      <c r="I20" s="18"/>
    </row>
  </sheetData>
  <autoFilter ref="A1:L1" xr:uid="{00000000-0009-0000-0000-000003000000}"/>
  <mergeCells count="1">
    <mergeCell ref="A13:I13"/>
  </mergeCells>
  <pageMargins left="0.7" right="0.7" top="0.75" bottom="0.75" header="0.3" footer="0.3"/>
  <pageSetup paperSize="9" orientation="portrait" horizont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zoomScale="85" zoomScaleNormal="85" workbookViewId="0">
      <selection activeCell="B9" sqref="B9"/>
    </sheetView>
  </sheetViews>
  <sheetFormatPr defaultRowHeight="15" x14ac:dyDescent="0.25"/>
  <cols>
    <col min="1" max="1" width="61.5703125" style="9" bestFit="1" customWidth="1"/>
    <col min="2" max="12" width="19.28515625" style="9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.75" customHeight="1" x14ac:dyDescent="0.25">
      <c r="A2" s="4" t="s">
        <v>302</v>
      </c>
      <c r="B2" s="5">
        <v>50715</v>
      </c>
      <c r="C2" s="4" t="s">
        <v>618</v>
      </c>
      <c r="D2" s="4" t="s">
        <v>619</v>
      </c>
      <c r="E2" s="4" t="s">
        <v>620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621</v>
      </c>
      <c r="K2" s="7">
        <v>46274</v>
      </c>
      <c r="L2" s="4" t="s">
        <v>622</v>
      </c>
    </row>
    <row r="3" spans="1:12" ht="18.75" customHeight="1" x14ac:dyDescent="0.25">
      <c r="A3" s="4" t="s">
        <v>12</v>
      </c>
      <c r="B3" s="5">
        <v>7325</v>
      </c>
      <c r="C3" s="4" t="s">
        <v>623</v>
      </c>
      <c r="D3" s="4" t="s">
        <v>624</v>
      </c>
      <c r="E3" s="4" t="s">
        <v>625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626</v>
      </c>
      <c r="K3" s="7">
        <v>46267</v>
      </c>
      <c r="L3" s="4" t="s">
        <v>627</v>
      </c>
    </row>
    <row r="4" spans="1:12" ht="18.75" customHeight="1" x14ac:dyDescent="0.25">
      <c r="A4" s="4" t="s">
        <v>302</v>
      </c>
      <c r="B4" s="5">
        <v>7000</v>
      </c>
      <c r="C4" s="4" t="s">
        <v>628</v>
      </c>
      <c r="D4" s="4" t="s">
        <v>629</v>
      </c>
      <c r="E4" s="4" t="s">
        <v>630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631</v>
      </c>
      <c r="K4" s="7">
        <v>46275</v>
      </c>
      <c r="L4" s="4" t="s">
        <v>622</v>
      </c>
    </row>
    <row r="5" spans="1:12" ht="18.75" customHeight="1" x14ac:dyDescent="0.25">
      <c r="A5" s="4" t="s">
        <v>12</v>
      </c>
      <c r="B5" s="5">
        <v>34414</v>
      </c>
      <c r="C5" s="4" t="s">
        <v>623</v>
      </c>
      <c r="D5" s="4" t="s">
        <v>632</v>
      </c>
      <c r="E5" s="4" t="s">
        <v>633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634</v>
      </c>
      <c r="K5" s="7">
        <v>46274</v>
      </c>
      <c r="L5" s="4" t="s">
        <v>627</v>
      </c>
    </row>
    <row r="6" spans="1:12" ht="18.75" customHeight="1" x14ac:dyDescent="0.25">
      <c r="A6" s="4" t="s">
        <v>65</v>
      </c>
      <c r="B6" s="5">
        <v>17885.2</v>
      </c>
      <c r="C6" s="4" t="s">
        <v>635</v>
      </c>
      <c r="D6" s="4" t="s">
        <v>636</v>
      </c>
      <c r="E6" s="4" t="s">
        <v>637</v>
      </c>
      <c r="F6" s="4" t="s">
        <v>16</v>
      </c>
      <c r="G6" s="4" t="s">
        <v>17</v>
      </c>
      <c r="H6" s="4" t="s">
        <v>53</v>
      </c>
      <c r="I6" s="4" t="s">
        <v>19</v>
      </c>
      <c r="J6" s="4" t="s">
        <v>638</v>
      </c>
      <c r="K6" s="7">
        <v>46276</v>
      </c>
      <c r="L6" s="4" t="s">
        <v>229</v>
      </c>
    </row>
    <row r="7" spans="1:12" ht="18.75" customHeight="1" x14ac:dyDescent="0.25">
      <c r="A7" s="4" t="s">
        <v>65</v>
      </c>
      <c r="B7" s="5">
        <v>18047.46</v>
      </c>
      <c r="C7" s="4" t="s">
        <v>639</v>
      </c>
      <c r="D7" s="4" t="s">
        <v>640</v>
      </c>
      <c r="E7" s="4" t="s">
        <v>641</v>
      </c>
      <c r="F7" s="4" t="s">
        <v>16</v>
      </c>
      <c r="G7" s="4" t="s">
        <v>17</v>
      </c>
      <c r="H7" s="4" t="s">
        <v>53</v>
      </c>
      <c r="I7" s="4" t="s">
        <v>19</v>
      </c>
      <c r="J7" s="4" t="s">
        <v>642</v>
      </c>
      <c r="K7" s="7">
        <v>46253</v>
      </c>
      <c r="L7" s="4" t="s">
        <v>643</v>
      </c>
    </row>
    <row r="8" spans="1:12" ht="18.75" customHeight="1" x14ac:dyDescent="0.25">
      <c r="A8" s="4" t="s">
        <v>65</v>
      </c>
      <c r="B8" s="5">
        <v>11648.32</v>
      </c>
      <c r="C8" s="4" t="s">
        <v>639</v>
      </c>
      <c r="D8" s="4" t="s">
        <v>644</v>
      </c>
      <c r="E8" s="4" t="s">
        <v>645</v>
      </c>
      <c r="F8" s="4" t="s">
        <v>16</v>
      </c>
      <c r="G8" s="4" t="s">
        <v>17</v>
      </c>
      <c r="H8" s="4" t="s">
        <v>53</v>
      </c>
      <c r="I8" s="4" t="s">
        <v>19</v>
      </c>
      <c r="J8" s="4" t="s">
        <v>646</v>
      </c>
      <c r="K8" s="7">
        <v>46246</v>
      </c>
      <c r="L8" s="4" t="s">
        <v>229</v>
      </c>
    </row>
    <row r="9" spans="1:12" x14ac:dyDescent="0.25">
      <c r="B9" s="10"/>
    </row>
    <row r="13" spans="1:12" ht="18.75" x14ac:dyDescent="0.3">
      <c r="A13" s="19" t="s">
        <v>319</v>
      </c>
      <c r="B13" s="20"/>
      <c r="C13" s="20"/>
      <c r="D13" s="20"/>
      <c r="E13" s="20"/>
    </row>
    <row r="15" spans="1:12" x14ac:dyDescent="0.25">
      <c r="A15" s="13" t="s">
        <v>320</v>
      </c>
      <c r="B15" s="13" t="s">
        <v>18</v>
      </c>
      <c r="C15" s="13" t="s">
        <v>53</v>
      </c>
      <c r="D15" s="13" t="s">
        <v>321</v>
      </c>
      <c r="E15" s="13" t="s">
        <v>322</v>
      </c>
    </row>
    <row r="16" spans="1:12" x14ac:dyDescent="0.25">
      <c r="A16" s="14" t="s">
        <v>623</v>
      </c>
      <c r="B16" s="15">
        <v>41739</v>
      </c>
      <c r="C16" s="15">
        <v>0</v>
      </c>
      <c r="D16" s="15">
        <v>41739</v>
      </c>
      <c r="E16" s="14" t="s">
        <v>647</v>
      </c>
    </row>
    <row r="17" spans="1:5" x14ac:dyDescent="0.25">
      <c r="A17" s="14" t="s">
        <v>635</v>
      </c>
      <c r="B17" s="15">
        <v>0</v>
      </c>
      <c r="C17" s="15">
        <v>17885.2</v>
      </c>
      <c r="D17" s="15">
        <v>17885.2</v>
      </c>
      <c r="E17" s="14" t="s">
        <v>340</v>
      </c>
    </row>
    <row r="18" spans="1:5" x14ac:dyDescent="0.25">
      <c r="A18" s="14" t="s">
        <v>639</v>
      </c>
      <c r="B18" s="15">
        <v>0</v>
      </c>
      <c r="C18" s="15">
        <v>29695.78</v>
      </c>
      <c r="D18" s="15">
        <v>29695.78</v>
      </c>
      <c r="E18" s="14" t="s">
        <v>340</v>
      </c>
    </row>
    <row r="19" spans="1:5" x14ac:dyDescent="0.25">
      <c r="A19" s="14" t="s">
        <v>618</v>
      </c>
      <c r="B19" s="15">
        <v>50715</v>
      </c>
      <c r="C19" s="15">
        <v>0</v>
      </c>
      <c r="D19" s="15">
        <v>50715</v>
      </c>
      <c r="E19" s="14" t="s">
        <v>346</v>
      </c>
    </row>
    <row r="20" spans="1:5" x14ac:dyDescent="0.25">
      <c r="A20" s="14" t="s">
        <v>628</v>
      </c>
      <c r="B20" s="15">
        <v>7000</v>
      </c>
      <c r="C20" s="15">
        <v>0</v>
      </c>
      <c r="D20" s="15">
        <v>7000</v>
      </c>
      <c r="E20" s="14" t="s">
        <v>346</v>
      </c>
    </row>
    <row r="21" spans="1:5" x14ac:dyDescent="0.25">
      <c r="A21" s="16" t="s">
        <v>353</v>
      </c>
      <c r="B21" s="17">
        <v>99454</v>
      </c>
      <c r="C21" s="17">
        <v>47580.98</v>
      </c>
      <c r="D21" s="17">
        <v>147034.98000000001</v>
      </c>
      <c r="E21" s="18"/>
    </row>
  </sheetData>
  <autoFilter ref="A1:M1" xr:uid="{00000000-0009-0000-0000-000004000000}"/>
  <mergeCells count="1">
    <mergeCell ref="A13:E13"/>
  </mergeCells>
  <conditionalFormatting sqref="D1:D1048576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6"/>
  <sheetViews>
    <sheetView topLeftCell="A43" zoomScale="85" zoomScaleNormal="85" workbookViewId="0">
      <selection activeCell="B50" sqref="B50"/>
    </sheetView>
  </sheetViews>
  <sheetFormatPr defaultRowHeight="15" x14ac:dyDescent="0.25"/>
  <cols>
    <col min="1" max="12" width="17.140625" style="9" customWidth="1"/>
    <col min="15" max="15" width="11.7109375" bestFit="1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4" t="s">
        <v>65</v>
      </c>
      <c r="B2" s="5">
        <v>58950</v>
      </c>
      <c r="C2" s="4" t="s">
        <v>648</v>
      </c>
      <c r="D2" s="4" t="s">
        <v>649</v>
      </c>
      <c r="E2" s="4" t="s">
        <v>650</v>
      </c>
      <c r="F2" s="4" t="s">
        <v>16</v>
      </c>
      <c r="G2" s="4" t="s">
        <v>17</v>
      </c>
      <c r="H2" s="4" t="s">
        <v>62</v>
      </c>
      <c r="I2" s="4" t="s">
        <v>19</v>
      </c>
      <c r="J2" s="4" t="s">
        <v>651</v>
      </c>
      <c r="K2" s="7">
        <v>46148</v>
      </c>
      <c r="L2" s="4" t="s">
        <v>652</v>
      </c>
    </row>
    <row r="3" spans="1:12" ht="15.75" customHeight="1" x14ac:dyDescent="0.25">
      <c r="A3" s="4" t="s">
        <v>65</v>
      </c>
      <c r="B3" s="5">
        <v>128600</v>
      </c>
      <c r="C3" s="4" t="s">
        <v>648</v>
      </c>
      <c r="D3" s="4" t="s">
        <v>653</v>
      </c>
      <c r="E3" s="4" t="s">
        <v>654</v>
      </c>
      <c r="F3" s="4" t="s">
        <v>16</v>
      </c>
      <c r="G3" s="4" t="s">
        <v>17</v>
      </c>
      <c r="H3" s="4" t="s">
        <v>62</v>
      </c>
      <c r="I3" s="4" t="s">
        <v>19</v>
      </c>
      <c r="J3" s="4" t="s">
        <v>655</v>
      </c>
      <c r="K3" s="7">
        <v>46164</v>
      </c>
      <c r="L3" s="4" t="s">
        <v>652</v>
      </c>
    </row>
    <row r="4" spans="1:12" ht="15.75" customHeight="1" x14ac:dyDescent="0.25">
      <c r="A4" s="4" t="s">
        <v>65</v>
      </c>
      <c r="B4" s="8">
        <v>212450</v>
      </c>
      <c r="C4" s="4" t="s">
        <v>648</v>
      </c>
      <c r="D4" s="4" t="s">
        <v>656</v>
      </c>
      <c r="E4" s="4" t="s">
        <v>657</v>
      </c>
      <c r="F4" s="4" t="s">
        <v>16</v>
      </c>
      <c r="G4" s="4" t="s">
        <v>17</v>
      </c>
      <c r="H4" s="4" t="s">
        <v>62</v>
      </c>
      <c r="I4" s="4" t="s">
        <v>19</v>
      </c>
      <c r="J4" s="4" t="s">
        <v>658</v>
      </c>
      <c r="K4" s="7">
        <v>46188</v>
      </c>
      <c r="L4" s="4" t="s">
        <v>652</v>
      </c>
    </row>
    <row r="5" spans="1:12" ht="19.5" customHeight="1" x14ac:dyDescent="0.25">
      <c r="A5" s="4" t="s">
        <v>12</v>
      </c>
      <c r="B5" s="5">
        <v>1026</v>
      </c>
      <c r="C5" s="4" t="s">
        <v>659</v>
      </c>
      <c r="D5" s="4" t="s">
        <v>660</v>
      </c>
      <c r="E5" s="4" t="s">
        <v>661</v>
      </c>
      <c r="F5" s="4" t="s">
        <v>16</v>
      </c>
      <c r="G5" s="4" t="s">
        <v>17</v>
      </c>
      <c r="H5" s="4" t="s">
        <v>662</v>
      </c>
      <c r="I5" s="4" t="s">
        <v>19</v>
      </c>
      <c r="J5" s="4" t="s">
        <v>663</v>
      </c>
      <c r="K5" s="7">
        <v>46257</v>
      </c>
      <c r="L5" s="4" t="s">
        <v>664</v>
      </c>
    </row>
    <row r="6" spans="1:12" ht="19.5" customHeight="1" x14ac:dyDescent="0.25">
      <c r="A6" s="4" t="s">
        <v>12</v>
      </c>
      <c r="B6" s="5">
        <v>17088</v>
      </c>
      <c r="C6" s="4" t="s">
        <v>659</v>
      </c>
      <c r="D6" s="4" t="s">
        <v>665</v>
      </c>
      <c r="E6" s="4" t="s">
        <v>666</v>
      </c>
      <c r="F6" s="4" t="s">
        <v>16</v>
      </c>
      <c r="G6" s="4" t="s">
        <v>17</v>
      </c>
      <c r="H6" s="4" t="s">
        <v>498</v>
      </c>
      <c r="I6" s="4" t="s">
        <v>19</v>
      </c>
      <c r="J6" s="4" t="s">
        <v>667</v>
      </c>
      <c r="K6" s="7">
        <v>46261</v>
      </c>
      <c r="L6" s="4" t="s">
        <v>500</v>
      </c>
    </row>
    <row r="7" spans="1:12" ht="19.5" customHeight="1" x14ac:dyDescent="0.25">
      <c r="A7" s="4" t="s">
        <v>12</v>
      </c>
      <c r="B7" s="5">
        <v>14851</v>
      </c>
      <c r="C7" s="4" t="s">
        <v>659</v>
      </c>
      <c r="D7" s="4" t="s">
        <v>668</v>
      </c>
      <c r="E7" s="4" t="s">
        <v>666</v>
      </c>
      <c r="F7" s="4" t="s">
        <v>16</v>
      </c>
      <c r="G7" s="4" t="s">
        <v>17</v>
      </c>
      <c r="H7" s="4" t="s">
        <v>498</v>
      </c>
      <c r="I7" s="4" t="s">
        <v>19</v>
      </c>
      <c r="J7" s="4" t="s">
        <v>669</v>
      </c>
      <c r="K7" s="7">
        <v>46261</v>
      </c>
      <c r="L7" s="4" t="s">
        <v>500</v>
      </c>
    </row>
    <row r="8" spans="1:12" ht="19.5" customHeight="1" x14ac:dyDescent="0.25">
      <c r="A8" s="4" t="s">
        <v>12</v>
      </c>
      <c r="B8" s="5">
        <v>3840</v>
      </c>
      <c r="C8" s="4" t="s">
        <v>659</v>
      </c>
      <c r="D8" s="4" t="s">
        <v>670</v>
      </c>
      <c r="E8" s="4" t="s">
        <v>671</v>
      </c>
      <c r="F8" s="4" t="s">
        <v>16</v>
      </c>
      <c r="G8" s="4" t="s">
        <v>17</v>
      </c>
      <c r="H8" s="4" t="s">
        <v>662</v>
      </c>
      <c r="I8" s="4" t="s">
        <v>19</v>
      </c>
      <c r="J8" s="4" t="s">
        <v>672</v>
      </c>
      <c r="K8" s="7">
        <v>46262</v>
      </c>
      <c r="L8" s="4" t="s">
        <v>664</v>
      </c>
    </row>
    <row r="9" spans="1:12" ht="19.5" customHeight="1" x14ac:dyDescent="0.25">
      <c r="A9" s="4" t="s">
        <v>12</v>
      </c>
      <c r="B9" s="5">
        <v>22218</v>
      </c>
      <c r="C9" s="4" t="s">
        <v>659</v>
      </c>
      <c r="D9" s="4" t="s">
        <v>673</v>
      </c>
      <c r="E9" s="4" t="s">
        <v>674</v>
      </c>
      <c r="F9" s="4" t="s">
        <v>16</v>
      </c>
      <c r="G9" s="4" t="s">
        <v>17</v>
      </c>
      <c r="H9" s="4" t="s">
        <v>662</v>
      </c>
      <c r="I9" s="4" t="s">
        <v>19</v>
      </c>
      <c r="J9" s="4" t="s">
        <v>675</v>
      </c>
      <c r="K9" s="7">
        <v>46263</v>
      </c>
      <c r="L9" s="4" t="s">
        <v>664</v>
      </c>
    </row>
    <row r="10" spans="1:12" ht="19.5" customHeight="1" x14ac:dyDescent="0.25">
      <c r="A10" s="4" t="s">
        <v>12</v>
      </c>
      <c r="B10" s="5">
        <v>6995</v>
      </c>
      <c r="C10" s="4" t="s">
        <v>659</v>
      </c>
      <c r="D10" s="4" t="s">
        <v>676</v>
      </c>
      <c r="E10" s="4" t="s">
        <v>677</v>
      </c>
      <c r="F10" s="4" t="s">
        <v>16</v>
      </c>
      <c r="G10" s="4" t="s">
        <v>17</v>
      </c>
      <c r="H10" s="4" t="s">
        <v>662</v>
      </c>
      <c r="I10" s="4" t="s">
        <v>19</v>
      </c>
      <c r="J10" s="4" t="s">
        <v>678</v>
      </c>
      <c r="K10" s="7">
        <v>46263</v>
      </c>
      <c r="L10" s="4" t="s">
        <v>664</v>
      </c>
    </row>
    <row r="11" spans="1:12" ht="17.25" customHeight="1" x14ac:dyDescent="0.25">
      <c r="A11" s="4" t="s">
        <v>12</v>
      </c>
      <c r="B11" s="5">
        <v>39830</v>
      </c>
      <c r="C11" s="4" t="s">
        <v>659</v>
      </c>
      <c r="D11" s="4" t="s">
        <v>679</v>
      </c>
      <c r="E11" s="4" t="s">
        <v>680</v>
      </c>
      <c r="F11" s="4" t="s">
        <v>16</v>
      </c>
      <c r="G11" s="4" t="s">
        <v>17</v>
      </c>
      <c r="H11" s="4" t="s">
        <v>662</v>
      </c>
      <c r="I11" s="4" t="s">
        <v>19</v>
      </c>
      <c r="J11" s="4" t="s">
        <v>681</v>
      </c>
      <c r="K11" s="7">
        <v>46263</v>
      </c>
      <c r="L11" s="4" t="s">
        <v>664</v>
      </c>
    </row>
    <row r="12" spans="1:12" ht="21.75" customHeight="1" x14ac:dyDescent="0.25">
      <c r="A12" s="4" t="s">
        <v>12</v>
      </c>
      <c r="B12" s="5">
        <v>19490</v>
      </c>
      <c r="C12" s="4" t="s">
        <v>659</v>
      </c>
      <c r="D12" s="4" t="s">
        <v>682</v>
      </c>
      <c r="E12" s="4" t="s">
        <v>683</v>
      </c>
      <c r="F12" s="4" t="s">
        <v>16</v>
      </c>
      <c r="G12" s="4" t="s">
        <v>17</v>
      </c>
      <c r="H12" s="4" t="s">
        <v>498</v>
      </c>
      <c r="I12" s="4" t="s">
        <v>19</v>
      </c>
      <c r="J12" s="4" t="s">
        <v>684</v>
      </c>
      <c r="K12" s="7">
        <v>46280</v>
      </c>
      <c r="L12" s="4" t="s">
        <v>500</v>
      </c>
    </row>
    <row r="13" spans="1:12" ht="27" customHeight="1" x14ac:dyDescent="0.25">
      <c r="A13" s="4" t="s">
        <v>12</v>
      </c>
      <c r="B13" s="5">
        <v>13990</v>
      </c>
      <c r="C13" s="4" t="s">
        <v>659</v>
      </c>
      <c r="D13" s="4" t="s">
        <v>685</v>
      </c>
      <c r="E13" s="4" t="s">
        <v>686</v>
      </c>
      <c r="F13" s="4" t="s">
        <v>16</v>
      </c>
      <c r="G13" s="4" t="s">
        <v>17</v>
      </c>
      <c r="H13" s="4" t="s">
        <v>498</v>
      </c>
      <c r="I13" s="4" t="s">
        <v>19</v>
      </c>
      <c r="J13" s="4" t="s">
        <v>687</v>
      </c>
      <c r="K13" s="7">
        <v>46289</v>
      </c>
      <c r="L13" s="4" t="s">
        <v>500</v>
      </c>
    </row>
    <row r="14" spans="1:12" ht="19.5" customHeight="1" x14ac:dyDescent="0.25">
      <c r="A14" s="4" t="s">
        <v>12</v>
      </c>
      <c r="B14" s="5">
        <v>11070.28</v>
      </c>
      <c r="C14" s="4" t="s">
        <v>659</v>
      </c>
      <c r="D14" s="4" t="s">
        <v>688</v>
      </c>
      <c r="E14" s="4" t="s">
        <v>689</v>
      </c>
      <c r="F14" s="4" t="s">
        <v>16</v>
      </c>
      <c r="G14" s="4" t="s">
        <v>17</v>
      </c>
      <c r="H14" s="4" t="s">
        <v>498</v>
      </c>
      <c r="I14" s="4" t="s">
        <v>19</v>
      </c>
      <c r="J14" s="4" t="s">
        <v>690</v>
      </c>
      <c r="K14" s="7">
        <v>46289</v>
      </c>
      <c r="L14" s="4" t="s">
        <v>500</v>
      </c>
    </row>
    <row r="15" spans="1:12" ht="19.5" customHeight="1" x14ac:dyDescent="0.25">
      <c r="A15" s="4" t="s">
        <v>12</v>
      </c>
      <c r="B15" s="5">
        <v>24208</v>
      </c>
      <c r="C15" s="4" t="s">
        <v>659</v>
      </c>
      <c r="D15" s="4" t="s">
        <v>691</v>
      </c>
      <c r="E15" s="4" t="s">
        <v>692</v>
      </c>
      <c r="F15" s="4" t="s">
        <v>16</v>
      </c>
      <c r="G15" s="4" t="s">
        <v>17</v>
      </c>
      <c r="H15" s="4" t="s">
        <v>498</v>
      </c>
      <c r="I15" s="4" t="s">
        <v>19</v>
      </c>
      <c r="J15" s="4" t="s">
        <v>693</v>
      </c>
      <c r="K15" s="7">
        <v>46289</v>
      </c>
      <c r="L15" s="4" t="s">
        <v>500</v>
      </c>
    </row>
    <row r="16" spans="1:12" ht="18" customHeight="1" x14ac:dyDescent="0.25">
      <c r="A16" s="4" t="s">
        <v>12</v>
      </c>
      <c r="B16" s="5">
        <v>24902.639999999999</v>
      </c>
      <c r="C16" s="4" t="s">
        <v>659</v>
      </c>
      <c r="D16" s="4" t="s">
        <v>694</v>
      </c>
      <c r="E16" s="4" t="s">
        <v>695</v>
      </c>
      <c r="F16" s="4" t="s">
        <v>16</v>
      </c>
      <c r="G16" s="4" t="s">
        <v>17</v>
      </c>
      <c r="H16" s="4" t="s">
        <v>498</v>
      </c>
      <c r="I16" s="4" t="s">
        <v>19</v>
      </c>
      <c r="J16" s="4" t="s">
        <v>696</v>
      </c>
      <c r="K16" s="7">
        <v>46305</v>
      </c>
      <c r="L16" s="4" t="s">
        <v>500</v>
      </c>
    </row>
    <row r="17" spans="1:12" ht="18" customHeight="1" x14ac:dyDescent="0.25">
      <c r="A17" s="4" t="s">
        <v>12</v>
      </c>
      <c r="B17" s="5">
        <v>42366</v>
      </c>
      <c r="C17" s="4" t="s">
        <v>659</v>
      </c>
      <c r="D17" s="4" t="s">
        <v>697</v>
      </c>
      <c r="E17" s="4" t="s">
        <v>698</v>
      </c>
      <c r="F17" s="4" t="s">
        <v>16</v>
      </c>
      <c r="G17" s="4" t="s">
        <v>17</v>
      </c>
      <c r="H17" s="4" t="s">
        <v>498</v>
      </c>
      <c r="I17" s="4" t="s">
        <v>19</v>
      </c>
      <c r="J17" s="4" t="s">
        <v>699</v>
      </c>
      <c r="K17" s="7">
        <v>46305</v>
      </c>
      <c r="L17" s="4" t="s">
        <v>500</v>
      </c>
    </row>
    <row r="18" spans="1:12" ht="18" customHeight="1" x14ac:dyDescent="0.25">
      <c r="A18" s="4" t="s">
        <v>12</v>
      </c>
      <c r="B18" s="5">
        <v>57155.17</v>
      </c>
      <c r="C18" s="4" t="s">
        <v>659</v>
      </c>
      <c r="D18" s="4" t="s">
        <v>700</v>
      </c>
      <c r="E18" s="4" t="s">
        <v>701</v>
      </c>
      <c r="F18" s="4" t="s">
        <v>16</v>
      </c>
      <c r="G18" s="4" t="s">
        <v>17</v>
      </c>
      <c r="H18" s="4" t="s">
        <v>498</v>
      </c>
      <c r="I18" s="4" t="s">
        <v>19</v>
      </c>
      <c r="J18" s="4" t="s">
        <v>702</v>
      </c>
      <c r="K18" s="7">
        <v>46305</v>
      </c>
      <c r="L18" s="4" t="s">
        <v>500</v>
      </c>
    </row>
    <row r="19" spans="1:12" ht="18" customHeight="1" x14ac:dyDescent="0.25">
      <c r="A19" s="4" t="s">
        <v>12</v>
      </c>
      <c r="B19" s="5">
        <v>548238.72</v>
      </c>
      <c r="C19" s="4" t="s">
        <v>703</v>
      </c>
      <c r="D19" s="4" t="s">
        <v>704</v>
      </c>
      <c r="E19" s="4" t="s">
        <v>705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706</v>
      </c>
      <c r="K19" s="7">
        <v>46132</v>
      </c>
      <c r="L19" s="4" t="s">
        <v>707</v>
      </c>
    </row>
    <row r="20" spans="1:12" ht="18" customHeight="1" x14ac:dyDescent="0.25">
      <c r="A20" s="4" t="s">
        <v>12</v>
      </c>
      <c r="B20" s="8">
        <v>225000</v>
      </c>
      <c r="C20" s="4" t="s">
        <v>708</v>
      </c>
      <c r="D20" s="4" t="s">
        <v>709</v>
      </c>
      <c r="E20" s="4" t="s">
        <v>710</v>
      </c>
      <c r="F20" s="4" t="s">
        <v>16</v>
      </c>
      <c r="G20" s="4" t="s">
        <v>17</v>
      </c>
      <c r="H20" s="4" t="s">
        <v>62</v>
      </c>
      <c r="I20" s="4" t="s">
        <v>19</v>
      </c>
      <c r="J20" s="4" t="s">
        <v>711</v>
      </c>
      <c r="K20" s="7">
        <v>46168</v>
      </c>
      <c r="L20" s="4" t="s">
        <v>712</v>
      </c>
    </row>
    <row r="21" spans="1:12" ht="18" customHeight="1" x14ac:dyDescent="0.25">
      <c r="A21" s="4" t="s">
        <v>713</v>
      </c>
      <c r="B21" s="8">
        <v>500000</v>
      </c>
      <c r="C21" s="4" t="s">
        <v>714</v>
      </c>
      <c r="D21" s="4" t="s">
        <v>715</v>
      </c>
      <c r="E21" s="4" t="s">
        <v>716</v>
      </c>
      <c r="F21" s="4" t="s">
        <v>16</v>
      </c>
      <c r="G21" s="4" t="s">
        <v>17</v>
      </c>
      <c r="H21" s="4" t="s">
        <v>53</v>
      </c>
      <c r="I21" s="4" t="s">
        <v>19</v>
      </c>
      <c r="J21" s="4" t="s">
        <v>717</v>
      </c>
      <c r="K21" s="7">
        <v>46267</v>
      </c>
      <c r="L21" s="4" t="s">
        <v>229</v>
      </c>
    </row>
    <row r="22" spans="1:12" ht="18" customHeight="1" x14ac:dyDescent="0.25">
      <c r="A22" s="4" t="s">
        <v>65</v>
      </c>
      <c r="B22" s="8">
        <v>200000</v>
      </c>
      <c r="C22" s="4" t="s">
        <v>718</v>
      </c>
      <c r="D22" s="4" t="s">
        <v>719</v>
      </c>
      <c r="E22" s="4" t="s">
        <v>720</v>
      </c>
      <c r="F22" s="4" t="s">
        <v>16</v>
      </c>
      <c r="G22" s="4" t="s">
        <v>17</v>
      </c>
      <c r="H22" s="4" t="s">
        <v>721</v>
      </c>
      <c r="I22" s="4" t="s">
        <v>19</v>
      </c>
      <c r="J22" s="4" t="s">
        <v>722</v>
      </c>
      <c r="K22" s="7">
        <v>46205</v>
      </c>
      <c r="L22" s="4" t="s">
        <v>723</v>
      </c>
    </row>
    <row r="23" spans="1:12" ht="18" customHeight="1" x14ac:dyDescent="0.25">
      <c r="A23" s="4" t="s">
        <v>12</v>
      </c>
      <c r="B23" s="5">
        <v>22300</v>
      </c>
      <c r="C23" s="4" t="s">
        <v>724</v>
      </c>
      <c r="D23" s="4" t="s">
        <v>725</v>
      </c>
      <c r="E23" s="4" t="s">
        <v>726</v>
      </c>
      <c r="F23" s="4" t="s">
        <v>16</v>
      </c>
      <c r="G23" s="4" t="s">
        <v>17</v>
      </c>
      <c r="H23" s="4" t="s">
        <v>92</v>
      </c>
      <c r="I23" s="4" t="s">
        <v>19</v>
      </c>
      <c r="J23" s="4" t="s">
        <v>727</v>
      </c>
      <c r="K23" s="7">
        <v>46254</v>
      </c>
      <c r="L23" s="4" t="s">
        <v>728</v>
      </c>
    </row>
    <row r="24" spans="1:12" ht="18" customHeight="1" x14ac:dyDescent="0.25">
      <c r="A24" s="4" t="s">
        <v>65</v>
      </c>
      <c r="B24" s="5">
        <v>12345</v>
      </c>
      <c r="C24" s="4" t="s">
        <v>724</v>
      </c>
      <c r="D24" s="4" t="s">
        <v>729</v>
      </c>
      <c r="E24" s="4" t="s">
        <v>730</v>
      </c>
      <c r="F24" s="4" t="s">
        <v>16</v>
      </c>
      <c r="G24" s="4" t="s">
        <v>17</v>
      </c>
      <c r="H24" s="4" t="s">
        <v>53</v>
      </c>
      <c r="I24" s="4" t="s">
        <v>19</v>
      </c>
      <c r="J24" s="4" t="s">
        <v>731</v>
      </c>
      <c r="K24" s="7">
        <v>46261</v>
      </c>
      <c r="L24" s="4" t="s">
        <v>229</v>
      </c>
    </row>
    <row r="25" spans="1:12" ht="18" customHeight="1" x14ac:dyDescent="0.25">
      <c r="A25" s="4" t="s">
        <v>302</v>
      </c>
      <c r="B25" s="5">
        <v>382500</v>
      </c>
      <c r="C25" s="4" t="s">
        <v>732</v>
      </c>
      <c r="D25" s="4" t="s">
        <v>733</v>
      </c>
      <c r="E25" s="4" t="s">
        <v>734</v>
      </c>
      <c r="F25" s="4" t="s">
        <v>16</v>
      </c>
      <c r="G25" s="4" t="s">
        <v>17</v>
      </c>
      <c r="H25" s="4" t="s">
        <v>735</v>
      </c>
      <c r="I25" s="4" t="s">
        <v>19</v>
      </c>
      <c r="J25" s="4" t="s">
        <v>736</v>
      </c>
      <c r="K25" s="7">
        <v>46175</v>
      </c>
      <c r="L25" s="4" t="s">
        <v>737</v>
      </c>
    </row>
    <row r="26" spans="1:12" ht="18" customHeight="1" x14ac:dyDescent="0.25">
      <c r="A26" s="2" t="s">
        <v>12</v>
      </c>
      <c r="B26" s="3">
        <v>250000</v>
      </c>
      <c r="C26" s="2" t="s">
        <v>738</v>
      </c>
      <c r="D26" s="2" t="s">
        <v>739</v>
      </c>
      <c r="E26" s="2" t="s">
        <v>740</v>
      </c>
      <c r="F26" s="2" t="s">
        <v>16</v>
      </c>
      <c r="G26" s="2" t="s">
        <v>17</v>
      </c>
      <c r="H26" s="2" t="s">
        <v>131</v>
      </c>
      <c r="I26" s="2" t="s">
        <v>19</v>
      </c>
      <c r="J26" s="2" t="s">
        <v>741</v>
      </c>
      <c r="K26" s="7">
        <v>46325</v>
      </c>
      <c r="L26" s="2" t="s">
        <v>742</v>
      </c>
    </row>
    <row r="27" spans="1:12" ht="18" customHeight="1" x14ac:dyDescent="0.25">
      <c r="A27" s="4" t="s">
        <v>12</v>
      </c>
      <c r="B27" s="5">
        <v>329650</v>
      </c>
      <c r="C27" s="4" t="s">
        <v>295</v>
      </c>
      <c r="D27" s="4" t="s">
        <v>743</v>
      </c>
      <c r="E27" s="4" t="s">
        <v>744</v>
      </c>
      <c r="F27" s="4" t="s">
        <v>16</v>
      </c>
      <c r="G27" s="4" t="s">
        <v>17</v>
      </c>
      <c r="H27" s="4" t="s">
        <v>92</v>
      </c>
      <c r="I27" s="4" t="s">
        <v>19</v>
      </c>
      <c r="J27" s="4" t="s">
        <v>745</v>
      </c>
      <c r="K27" s="7">
        <v>45960</v>
      </c>
      <c r="L27" s="4" t="s">
        <v>269</v>
      </c>
    </row>
    <row r="28" spans="1:12" ht="18" customHeight="1" x14ac:dyDescent="0.25">
      <c r="A28" s="4" t="s">
        <v>65</v>
      </c>
      <c r="B28" s="5">
        <v>132480</v>
      </c>
      <c r="C28" s="4" t="s">
        <v>746</v>
      </c>
      <c r="D28" s="4" t="s">
        <v>747</v>
      </c>
      <c r="E28" s="4" t="s">
        <v>748</v>
      </c>
      <c r="F28" s="4" t="s">
        <v>16</v>
      </c>
      <c r="G28" s="4" t="s">
        <v>17</v>
      </c>
      <c r="H28" s="4" t="s">
        <v>102</v>
      </c>
      <c r="I28" s="4" t="s">
        <v>19</v>
      </c>
      <c r="J28" s="4" t="s">
        <v>749</v>
      </c>
      <c r="K28" s="7">
        <v>46183</v>
      </c>
      <c r="L28" s="4" t="s">
        <v>115</v>
      </c>
    </row>
    <row r="29" spans="1:12" ht="18" customHeight="1" x14ac:dyDescent="0.25">
      <c r="A29" s="4" t="s">
        <v>65</v>
      </c>
      <c r="B29" s="5">
        <v>2730</v>
      </c>
      <c r="C29" s="4" t="s">
        <v>750</v>
      </c>
      <c r="D29" s="4" t="s">
        <v>751</v>
      </c>
      <c r="E29" s="4" t="s">
        <v>752</v>
      </c>
      <c r="F29" s="4" t="s">
        <v>16</v>
      </c>
      <c r="G29" s="4" t="s">
        <v>17</v>
      </c>
      <c r="H29" s="4" t="s">
        <v>102</v>
      </c>
      <c r="I29" s="4" t="s">
        <v>19</v>
      </c>
      <c r="J29" s="4" t="s">
        <v>753</v>
      </c>
      <c r="K29" s="7">
        <v>46202</v>
      </c>
      <c r="L29" s="4" t="s">
        <v>115</v>
      </c>
    </row>
    <row r="30" spans="1:12" ht="18" customHeight="1" x14ac:dyDescent="0.25">
      <c r="A30" s="4" t="s">
        <v>65</v>
      </c>
      <c r="B30" s="5">
        <v>186315.9</v>
      </c>
      <c r="C30" s="4" t="s">
        <v>750</v>
      </c>
      <c r="D30" s="4" t="s">
        <v>754</v>
      </c>
      <c r="E30" s="4" t="s">
        <v>755</v>
      </c>
      <c r="F30" s="4" t="s">
        <v>16</v>
      </c>
      <c r="G30" s="4" t="s">
        <v>17</v>
      </c>
      <c r="H30" s="4" t="s">
        <v>102</v>
      </c>
      <c r="I30" s="4" t="s">
        <v>19</v>
      </c>
      <c r="J30" s="4" t="s">
        <v>756</v>
      </c>
      <c r="K30" s="7">
        <v>46212</v>
      </c>
      <c r="L30" s="4" t="s">
        <v>115</v>
      </c>
    </row>
    <row r="31" spans="1:12" ht="15.75" customHeight="1" x14ac:dyDescent="0.25">
      <c r="A31" s="4" t="s">
        <v>597</v>
      </c>
      <c r="B31" s="5">
        <v>501255.97</v>
      </c>
      <c r="C31" s="4" t="s">
        <v>757</v>
      </c>
      <c r="D31" s="4" t="s">
        <v>758</v>
      </c>
      <c r="E31" s="4" t="s">
        <v>759</v>
      </c>
      <c r="F31" s="4" t="s">
        <v>16</v>
      </c>
      <c r="G31" s="4" t="s">
        <v>17</v>
      </c>
      <c r="H31" s="4" t="s">
        <v>92</v>
      </c>
      <c r="I31" s="4" t="s">
        <v>19</v>
      </c>
      <c r="J31" s="4" t="s">
        <v>760</v>
      </c>
      <c r="K31" s="7">
        <v>46154</v>
      </c>
      <c r="L31" s="4" t="s">
        <v>761</v>
      </c>
    </row>
    <row r="32" spans="1:12" ht="15.75" customHeight="1" x14ac:dyDescent="0.25">
      <c r="A32" s="4" t="s">
        <v>12</v>
      </c>
      <c r="B32" s="5">
        <v>114413.67</v>
      </c>
      <c r="C32" s="4" t="s">
        <v>762</v>
      </c>
      <c r="D32" s="4" t="s">
        <v>763</v>
      </c>
      <c r="E32" s="4" t="s">
        <v>764</v>
      </c>
      <c r="F32" s="4" t="s">
        <v>16</v>
      </c>
      <c r="G32" s="4" t="s">
        <v>17</v>
      </c>
      <c r="H32" s="4" t="s">
        <v>53</v>
      </c>
      <c r="I32" s="4" t="s">
        <v>19</v>
      </c>
      <c r="J32" s="4" t="s">
        <v>765</v>
      </c>
      <c r="K32" s="7">
        <v>46261</v>
      </c>
      <c r="L32" s="4" t="s">
        <v>766</v>
      </c>
    </row>
    <row r="33" spans="1:12" ht="15.75" customHeight="1" x14ac:dyDescent="0.25">
      <c r="A33" s="4" t="s">
        <v>12</v>
      </c>
      <c r="B33" s="5">
        <v>90000</v>
      </c>
      <c r="C33" s="4" t="s">
        <v>762</v>
      </c>
      <c r="D33" s="4" t="s">
        <v>767</v>
      </c>
      <c r="E33" s="4" t="s">
        <v>768</v>
      </c>
      <c r="F33" s="4" t="s">
        <v>16</v>
      </c>
      <c r="G33" s="4" t="s">
        <v>17</v>
      </c>
      <c r="H33" s="4" t="s">
        <v>92</v>
      </c>
      <c r="I33" s="4" t="s">
        <v>19</v>
      </c>
      <c r="J33" s="4" t="s">
        <v>769</v>
      </c>
      <c r="K33" s="7">
        <v>46282</v>
      </c>
      <c r="L33" s="4" t="s">
        <v>766</v>
      </c>
    </row>
    <row r="34" spans="1:12" ht="18" customHeight="1" x14ac:dyDescent="0.25">
      <c r="A34" s="4" t="s">
        <v>12</v>
      </c>
      <c r="B34" s="8">
        <v>95586.33</v>
      </c>
      <c r="C34" s="4" t="s">
        <v>762</v>
      </c>
      <c r="D34" s="4" t="s">
        <v>770</v>
      </c>
      <c r="E34" s="4" t="s">
        <v>771</v>
      </c>
      <c r="F34" s="4" t="s">
        <v>16</v>
      </c>
      <c r="G34" s="4" t="s">
        <v>17</v>
      </c>
      <c r="H34" s="4" t="s">
        <v>53</v>
      </c>
      <c r="I34" s="4" t="s">
        <v>19</v>
      </c>
      <c r="J34" s="4" t="s">
        <v>772</v>
      </c>
      <c r="K34" s="7">
        <v>46282</v>
      </c>
      <c r="L34" s="4" t="s">
        <v>766</v>
      </c>
    </row>
    <row r="35" spans="1:12" ht="19.5" customHeight="1" x14ac:dyDescent="0.25">
      <c r="A35" s="4" t="s">
        <v>12</v>
      </c>
      <c r="B35" s="5">
        <v>13400</v>
      </c>
      <c r="C35" s="4" t="s">
        <v>773</v>
      </c>
      <c r="D35" s="4" t="s">
        <v>774</v>
      </c>
      <c r="E35" s="4" t="s">
        <v>775</v>
      </c>
      <c r="F35" s="4" t="s">
        <v>16</v>
      </c>
      <c r="G35" s="4" t="s">
        <v>17</v>
      </c>
      <c r="H35" s="4" t="s">
        <v>18</v>
      </c>
      <c r="I35" s="4" t="s">
        <v>19</v>
      </c>
      <c r="J35" s="4" t="s">
        <v>776</v>
      </c>
      <c r="K35" s="7">
        <v>46193</v>
      </c>
      <c r="L35" s="4" t="s">
        <v>777</v>
      </c>
    </row>
    <row r="36" spans="1:12" ht="15.75" customHeight="1" x14ac:dyDescent="0.25">
      <c r="A36" s="4" t="s">
        <v>12</v>
      </c>
      <c r="B36" s="5">
        <v>13400</v>
      </c>
      <c r="C36" s="4" t="s">
        <v>773</v>
      </c>
      <c r="D36" s="4" t="s">
        <v>778</v>
      </c>
      <c r="E36" s="4" t="s">
        <v>779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780</v>
      </c>
      <c r="K36" s="7">
        <v>46222</v>
      </c>
      <c r="L36" s="4" t="s">
        <v>777</v>
      </c>
    </row>
    <row r="37" spans="1:12" ht="15.75" customHeight="1" x14ac:dyDescent="0.25">
      <c r="A37" s="4" t="s">
        <v>12</v>
      </c>
      <c r="B37" s="5">
        <v>13400</v>
      </c>
      <c r="C37" s="4" t="s">
        <v>773</v>
      </c>
      <c r="D37" s="4" t="s">
        <v>781</v>
      </c>
      <c r="E37" s="4" t="s">
        <v>782</v>
      </c>
      <c r="F37" s="4" t="s">
        <v>16</v>
      </c>
      <c r="G37" s="4" t="s">
        <v>17</v>
      </c>
      <c r="H37" s="4" t="s">
        <v>18</v>
      </c>
      <c r="I37" s="4" t="s">
        <v>19</v>
      </c>
      <c r="J37" s="4" t="s">
        <v>783</v>
      </c>
      <c r="K37" s="7">
        <v>46253</v>
      </c>
      <c r="L37" s="4" t="s">
        <v>777</v>
      </c>
    </row>
    <row r="38" spans="1:12" ht="15.75" customHeight="1" x14ac:dyDescent="0.25">
      <c r="A38" s="4" t="s">
        <v>65</v>
      </c>
      <c r="B38" s="5">
        <v>101382</v>
      </c>
      <c r="C38" s="4" t="s">
        <v>784</v>
      </c>
      <c r="D38" s="4" t="s">
        <v>785</v>
      </c>
      <c r="E38" s="4" t="s">
        <v>786</v>
      </c>
      <c r="F38" s="4" t="s">
        <v>16</v>
      </c>
      <c r="G38" s="4" t="s">
        <v>17</v>
      </c>
      <c r="H38" s="4" t="s">
        <v>253</v>
      </c>
      <c r="I38" s="4" t="s">
        <v>19</v>
      </c>
      <c r="J38" s="4" t="s">
        <v>787</v>
      </c>
      <c r="K38" s="7">
        <v>46237</v>
      </c>
      <c r="L38" s="4" t="s">
        <v>788</v>
      </c>
    </row>
    <row r="39" spans="1:12" ht="20.25" customHeight="1" x14ac:dyDescent="0.25">
      <c r="A39" s="4" t="s">
        <v>65</v>
      </c>
      <c r="B39" s="5">
        <v>9392</v>
      </c>
      <c r="C39" s="4" t="s">
        <v>789</v>
      </c>
      <c r="D39" s="4" t="s">
        <v>790</v>
      </c>
      <c r="E39" s="4" t="s">
        <v>791</v>
      </c>
      <c r="F39" s="4" t="s">
        <v>16</v>
      </c>
      <c r="G39" s="4" t="s">
        <v>17</v>
      </c>
      <c r="H39" s="4" t="s">
        <v>792</v>
      </c>
      <c r="I39" s="4" t="s">
        <v>19</v>
      </c>
      <c r="J39" s="4" t="s">
        <v>793</v>
      </c>
      <c r="K39" s="7">
        <v>46216</v>
      </c>
      <c r="L39" s="4" t="s">
        <v>794</v>
      </c>
    </row>
    <row r="40" spans="1:12" ht="20.25" customHeight="1" x14ac:dyDescent="0.25">
      <c r="A40" s="4" t="s">
        <v>65</v>
      </c>
      <c r="B40" s="5">
        <v>4600</v>
      </c>
      <c r="C40" s="4" t="s">
        <v>789</v>
      </c>
      <c r="D40" s="4" t="s">
        <v>795</v>
      </c>
      <c r="E40" s="4" t="s">
        <v>796</v>
      </c>
      <c r="F40" s="4" t="s">
        <v>16</v>
      </c>
      <c r="G40" s="4" t="s">
        <v>17</v>
      </c>
      <c r="H40" s="4" t="s">
        <v>147</v>
      </c>
      <c r="I40" s="4" t="s">
        <v>19</v>
      </c>
      <c r="J40" s="4" t="s">
        <v>797</v>
      </c>
      <c r="K40" s="7">
        <v>46219</v>
      </c>
      <c r="L40" s="4" t="s">
        <v>798</v>
      </c>
    </row>
    <row r="41" spans="1:12" ht="16.5" customHeight="1" x14ac:dyDescent="0.25">
      <c r="A41" s="4" t="s">
        <v>65</v>
      </c>
      <c r="B41" s="5">
        <v>81000</v>
      </c>
      <c r="C41" s="4" t="s">
        <v>789</v>
      </c>
      <c r="D41" s="4" t="s">
        <v>799</v>
      </c>
      <c r="E41" s="4" t="s">
        <v>800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801</v>
      </c>
      <c r="K41" s="7">
        <v>46223</v>
      </c>
      <c r="L41" s="4" t="s">
        <v>627</v>
      </c>
    </row>
    <row r="42" spans="1:12" ht="16.5" customHeight="1" x14ac:dyDescent="0.25">
      <c r="A42" s="4" t="s">
        <v>65</v>
      </c>
      <c r="B42" s="5">
        <v>10623</v>
      </c>
      <c r="C42" s="4" t="s">
        <v>789</v>
      </c>
      <c r="D42" s="4" t="s">
        <v>802</v>
      </c>
      <c r="E42" s="4" t="s">
        <v>803</v>
      </c>
      <c r="F42" s="4" t="s">
        <v>16</v>
      </c>
      <c r="G42" s="4" t="s">
        <v>17</v>
      </c>
      <c r="H42" s="4" t="s">
        <v>792</v>
      </c>
      <c r="I42" s="4" t="s">
        <v>19</v>
      </c>
      <c r="J42" s="4" t="s">
        <v>804</v>
      </c>
      <c r="K42" s="7">
        <v>46227</v>
      </c>
      <c r="L42" s="4" t="s">
        <v>794</v>
      </c>
    </row>
    <row r="43" spans="1:12" ht="16.5" customHeight="1" x14ac:dyDescent="0.25">
      <c r="A43" s="4" t="s">
        <v>65</v>
      </c>
      <c r="B43" s="5">
        <v>8840</v>
      </c>
      <c r="C43" s="4" t="s">
        <v>789</v>
      </c>
      <c r="D43" s="4" t="s">
        <v>805</v>
      </c>
      <c r="E43" s="4" t="s">
        <v>806</v>
      </c>
      <c r="F43" s="4" t="s">
        <v>16</v>
      </c>
      <c r="G43" s="4" t="s">
        <v>17</v>
      </c>
      <c r="H43" s="4" t="s">
        <v>18</v>
      </c>
      <c r="I43" s="4" t="s">
        <v>19</v>
      </c>
      <c r="J43" s="4" t="s">
        <v>807</v>
      </c>
      <c r="K43" s="7">
        <v>46241</v>
      </c>
      <c r="L43" s="4" t="s">
        <v>627</v>
      </c>
    </row>
    <row r="44" spans="1:12" ht="16.5" customHeight="1" x14ac:dyDescent="0.25">
      <c r="A44" s="4" t="s">
        <v>65</v>
      </c>
      <c r="B44" s="5">
        <v>55550</v>
      </c>
      <c r="C44" s="4" t="s">
        <v>789</v>
      </c>
      <c r="D44" s="4" t="s">
        <v>808</v>
      </c>
      <c r="E44" s="4" t="s">
        <v>809</v>
      </c>
      <c r="F44" s="4" t="s">
        <v>16</v>
      </c>
      <c r="G44" s="4" t="s">
        <v>17</v>
      </c>
      <c r="H44" s="4" t="s">
        <v>102</v>
      </c>
      <c r="I44" s="4" t="s">
        <v>19</v>
      </c>
      <c r="J44" s="4" t="s">
        <v>810</v>
      </c>
      <c r="K44" s="7">
        <v>46251</v>
      </c>
      <c r="L44" s="4" t="s">
        <v>115</v>
      </c>
    </row>
    <row r="45" spans="1:12" ht="16.5" customHeight="1" x14ac:dyDescent="0.25">
      <c r="A45" s="4" t="s">
        <v>65</v>
      </c>
      <c r="B45" s="5">
        <v>46000</v>
      </c>
      <c r="C45" s="4" t="s">
        <v>789</v>
      </c>
      <c r="D45" s="4" t="s">
        <v>811</v>
      </c>
      <c r="E45" s="4" t="s">
        <v>812</v>
      </c>
      <c r="F45" s="4" t="s">
        <v>16</v>
      </c>
      <c r="G45" s="4" t="s">
        <v>17</v>
      </c>
      <c r="H45" s="4" t="s">
        <v>102</v>
      </c>
      <c r="I45" s="4" t="s">
        <v>19</v>
      </c>
      <c r="J45" s="4" t="s">
        <v>813</v>
      </c>
      <c r="K45" s="7">
        <v>46265</v>
      </c>
      <c r="L45" s="4" t="s">
        <v>115</v>
      </c>
    </row>
    <row r="46" spans="1:12" ht="16.5" customHeight="1" x14ac:dyDescent="0.25">
      <c r="A46" s="4" t="s">
        <v>65</v>
      </c>
      <c r="B46" s="5">
        <v>77690.289999999994</v>
      </c>
      <c r="C46" s="4" t="s">
        <v>814</v>
      </c>
      <c r="D46" s="4" t="s">
        <v>815</v>
      </c>
      <c r="E46" s="4" t="s">
        <v>816</v>
      </c>
      <c r="F46" s="4" t="s">
        <v>16</v>
      </c>
      <c r="G46" s="4" t="s">
        <v>17</v>
      </c>
      <c r="H46" s="4" t="s">
        <v>253</v>
      </c>
      <c r="I46" s="4" t="s">
        <v>19</v>
      </c>
      <c r="J46" s="4" t="s">
        <v>817</v>
      </c>
      <c r="K46" s="7">
        <v>46230</v>
      </c>
      <c r="L46" s="4" t="s">
        <v>788</v>
      </c>
    </row>
    <row r="47" spans="1:12" ht="16.5" customHeight="1" x14ac:dyDescent="0.25">
      <c r="A47" s="4" t="s">
        <v>65</v>
      </c>
      <c r="B47" s="5">
        <v>52870.99</v>
      </c>
      <c r="C47" s="4" t="s">
        <v>814</v>
      </c>
      <c r="D47" s="4" t="s">
        <v>818</v>
      </c>
      <c r="E47" s="4" t="s">
        <v>819</v>
      </c>
      <c r="F47" s="4" t="s">
        <v>16</v>
      </c>
      <c r="G47" s="4" t="s">
        <v>17</v>
      </c>
      <c r="H47" s="4" t="s">
        <v>253</v>
      </c>
      <c r="I47" s="4" t="s">
        <v>19</v>
      </c>
      <c r="J47" s="4" t="s">
        <v>820</v>
      </c>
      <c r="K47" s="7">
        <v>46237</v>
      </c>
      <c r="L47" s="4" t="s">
        <v>788</v>
      </c>
    </row>
    <row r="48" spans="1:12" ht="15.75" customHeight="1" x14ac:dyDescent="0.25">
      <c r="A48" s="4" t="s">
        <v>65</v>
      </c>
      <c r="B48" s="5">
        <v>50938.9</v>
      </c>
      <c r="C48" s="4" t="s">
        <v>814</v>
      </c>
      <c r="D48" s="4" t="s">
        <v>821</v>
      </c>
      <c r="E48" s="4" t="s">
        <v>822</v>
      </c>
      <c r="F48" s="4" t="s">
        <v>16</v>
      </c>
      <c r="G48" s="4" t="s">
        <v>17</v>
      </c>
      <c r="H48" s="4" t="s">
        <v>253</v>
      </c>
      <c r="I48" s="4" t="s">
        <v>19</v>
      </c>
      <c r="J48" s="4" t="s">
        <v>823</v>
      </c>
      <c r="K48" s="7">
        <v>46241</v>
      </c>
      <c r="L48" s="4" t="s">
        <v>788</v>
      </c>
    </row>
    <row r="49" spans="1:16" ht="21" customHeight="1" x14ac:dyDescent="0.25">
      <c r="A49" s="4" t="s">
        <v>12</v>
      </c>
      <c r="B49" s="5">
        <v>54614.45</v>
      </c>
      <c r="C49" s="4" t="s">
        <v>278</v>
      </c>
      <c r="D49" s="4" t="s">
        <v>824</v>
      </c>
      <c r="E49" s="4" t="s">
        <v>825</v>
      </c>
      <c r="F49" s="4" t="s">
        <v>16</v>
      </c>
      <c r="G49" s="4" t="s">
        <v>17</v>
      </c>
      <c r="H49" s="4" t="s">
        <v>53</v>
      </c>
      <c r="I49" s="4" t="s">
        <v>19</v>
      </c>
      <c r="J49" s="4" t="s">
        <v>826</v>
      </c>
      <c r="K49" s="7">
        <v>46167</v>
      </c>
      <c r="L49" s="4" t="s">
        <v>260</v>
      </c>
    </row>
    <row r="50" spans="1:16" x14ac:dyDescent="0.25">
      <c r="B50" s="10"/>
    </row>
    <row r="54" spans="1:16" ht="18.75" x14ac:dyDescent="0.3">
      <c r="A54" s="19" t="s">
        <v>319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6" spans="1:16" ht="30" x14ac:dyDescent="0.25">
      <c r="A56" s="13" t="s">
        <v>320</v>
      </c>
      <c r="B56" s="13" t="s">
        <v>662</v>
      </c>
      <c r="C56" s="13" t="s">
        <v>253</v>
      </c>
      <c r="D56" s="13" t="s">
        <v>721</v>
      </c>
      <c r="E56" s="13" t="s">
        <v>102</v>
      </c>
      <c r="F56" s="13" t="s">
        <v>92</v>
      </c>
      <c r="G56" s="13" t="s">
        <v>498</v>
      </c>
      <c r="H56" s="13" t="s">
        <v>147</v>
      </c>
      <c r="I56" s="13" t="s">
        <v>18</v>
      </c>
      <c r="J56" s="13" t="s">
        <v>792</v>
      </c>
      <c r="K56" s="13" t="s">
        <v>53</v>
      </c>
      <c r="L56" s="13" t="s">
        <v>131</v>
      </c>
      <c r="M56" s="13" t="s">
        <v>62</v>
      </c>
      <c r="N56" s="13" t="s">
        <v>735</v>
      </c>
      <c r="O56" s="13" t="s">
        <v>321</v>
      </c>
      <c r="P56" s="13" t="s">
        <v>322</v>
      </c>
    </row>
    <row r="57" spans="1:16" x14ac:dyDescent="0.25">
      <c r="A57" s="14" t="s">
        <v>659</v>
      </c>
      <c r="B57" s="15">
        <v>73909</v>
      </c>
      <c r="C57" s="15">
        <v>0</v>
      </c>
      <c r="D57" s="15">
        <v>0</v>
      </c>
      <c r="E57" s="15">
        <v>0</v>
      </c>
      <c r="F57" s="15">
        <v>0</v>
      </c>
      <c r="G57" s="15">
        <v>225121.09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299030.09000000003</v>
      </c>
      <c r="P57" s="14" t="s">
        <v>340</v>
      </c>
    </row>
    <row r="58" spans="1:16" x14ac:dyDescent="0.25">
      <c r="A58" s="14" t="s">
        <v>648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400000</v>
      </c>
      <c r="N58" s="15">
        <v>0</v>
      </c>
      <c r="O58" s="15">
        <v>400000</v>
      </c>
      <c r="P58" s="14" t="s">
        <v>340</v>
      </c>
    </row>
    <row r="59" spans="1:16" x14ac:dyDescent="0.25">
      <c r="A59" s="14" t="s">
        <v>703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548238.72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548238.72</v>
      </c>
      <c r="P59" s="14" t="s">
        <v>334</v>
      </c>
    </row>
    <row r="60" spans="1:16" x14ac:dyDescent="0.25">
      <c r="A60" s="14" t="s">
        <v>708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225000</v>
      </c>
      <c r="N60" s="15">
        <v>0</v>
      </c>
      <c r="O60" s="15">
        <v>225000</v>
      </c>
      <c r="P60" s="14" t="s">
        <v>827</v>
      </c>
    </row>
    <row r="61" spans="1:16" x14ac:dyDescent="0.25">
      <c r="A61" s="14" t="s">
        <v>714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500000</v>
      </c>
      <c r="L61" s="15">
        <v>0</v>
      </c>
      <c r="M61" s="15">
        <v>0</v>
      </c>
      <c r="N61" s="15">
        <v>0</v>
      </c>
      <c r="O61" s="15">
        <v>500000</v>
      </c>
      <c r="P61" s="14" t="s">
        <v>828</v>
      </c>
    </row>
    <row r="62" spans="1:16" x14ac:dyDescent="0.25">
      <c r="A62" s="14" t="s">
        <v>718</v>
      </c>
      <c r="B62" s="15">
        <v>0</v>
      </c>
      <c r="C62" s="15">
        <v>0</v>
      </c>
      <c r="D62" s="15">
        <v>200000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200000</v>
      </c>
      <c r="P62" s="14" t="s">
        <v>328</v>
      </c>
    </row>
    <row r="63" spans="1:16" x14ac:dyDescent="0.25">
      <c r="A63" s="14" t="s">
        <v>724</v>
      </c>
      <c r="B63" s="15">
        <v>0</v>
      </c>
      <c r="C63" s="15">
        <v>0</v>
      </c>
      <c r="D63" s="15">
        <v>0</v>
      </c>
      <c r="E63" s="15">
        <v>0</v>
      </c>
      <c r="F63" s="15">
        <v>22300</v>
      </c>
      <c r="G63" s="15">
        <v>0</v>
      </c>
      <c r="H63" s="15">
        <v>0</v>
      </c>
      <c r="I63" s="15">
        <v>0</v>
      </c>
      <c r="J63" s="15">
        <v>0</v>
      </c>
      <c r="K63" s="15">
        <v>12345</v>
      </c>
      <c r="L63" s="15">
        <v>0</v>
      </c>
      <c r="M63" s="15">
        <v>0</v>
      </c>
      <c r="N63" s="15">
        <v>0</v>
      </c>
      <c r="O63" s="15">
        <v>34645</v>
      </c>
      <c r="P63" s="14" t="s">
        <v>340</v>
      </c>
    </row>
    <row r="64" spans="1:16" x14ac:dyDescent="0.25">
      <c r="A64" s="14" t="s">
        <v>732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382500</v>
      </c>
      <c r="O64" s="15">
        <v>382500</v>
      </c>
      <c r="P64" s="14" t="s">
        <v>736</v>
      </c>
    </row>
    <row r="65" spans="1:16" x14ac:dyDescent="0.25">
      <c r="A65" s="14" t="s">
        <v>738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250000</v>
      </c>
      <c r="M65" s="15">
        <v>0</v>
      </c>
      <c r="N65" s="15">
        <v>0</v>
      </c>
      <c r="O65" s="15">
        <v>250000</v>
      </c>
      <c r="P65" s="14" t="s">
        <v>829</v>
      </c>
    </row>
    <row r="66" spans="1:16" x14ac:dyDescent="0.25">
      <c r="A66" s="14" t="s">
        <v>295</v>
      </c>
      <c r="B66" s="15">
        <v>0</v>
      </c>
      <c r="C66" s="15">
        <v>0</v>
      </c>
      <c r="D66" s="15">
        <v>0</v>
      </c>
      <c r="E66" s="15">
        <v>0</v>
      </c>
      <c r="F66" s="15">
        <v>329650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329650</v>
      </c>
      <c r="P66" s="14" t="s">
        <v>329</v>
      </c>
    </row>
    <row r="67" spans="1:16" x14ac:dyDescent="0.25">
      <c r="A67" s="14" t="s">
        <v>746</v>
      </c>
      <c r="B67" s="15">
        <v>0</v>
      </c>
      <c r="C67" s="15">
        <v>0</v>
      </c>
      <c r="D67" s="15">
        <v>0</v>
      </c>
      <c r="E67" s="15">
        <v>132480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132480</v>
      </c>
      <c r="P67" s="14" t="s">
        <v>326</v>
      </c>
    </row>
    <row r="68" spans="1:16" x14ac:dyDescent="0.25">
      <c r="A68" s="14" t="s">
        <v>750</v>
      </c>
      <c r="B68" s="15">
        <v>0</v>
      </c>
      <c r="C68" s="15">
        <v>0</v>
      </c>
      <c r="D68" s="15">
        <v>0</v>
      </c>
      <c r="E68" s="15">
        <v>189045.9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189045.9</v>
      </c>
      <c r="P68" s="14" t="s">
        <v>340</v>
      </c>
    </row>
    <row r="69" spans="1:16" x14ac:dyDescent="0.25">
      <c r="A69" s="14" t="s">
        <v>757</v>
      </c>
      <c r="B69" s="15">
        <v>0</v>
      </c>
      <c r="C69" s="15">
        <v>0</v>
      </c>
      <c r="D69" s="15">
        <v>0</v>
      </c>
      <c r="E69" s="15">
        <v>0</v>
      </c>
      <c r="F69" s="15">
        <v>501255.97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501255.97</v>
      </c>
      <c r="P69" s="14" t="s">
        <v>830</v>
      </c>
    </row>
    <row r="70" spans="1:16" x14ac:dyDescent="0.25">
      <c r="A70" s="14" t="s">
        <v>762</v>
      </c>
      <c r="B70" s="15">
        <v>0</v>
      </c>
      <c r="C70" s="15">
        <v>0</v>
      </c>
      <c r="D70" s="15">
        <v>0</v>
      </c>
      <c r="E70" s="15">
        <v>0</v>
      </c>
      <c r="F70" s="15">
        <v>90000</v>
      </c>
      <c r="G70" s="15">
        <v>0</v>
      </c>
      <c r="H70" s="15">
        <v>0</v>
      </c>
      <c r="I70" s="15">
        <v>0</v>
      </c>
      <c r="J70" s="15">
        <v>0</v>
      </c>
      <c r="K70" s="15">
        <v>210000</v>
      </c>
      <c r="L70" s="15">
        <v>0</v>
      </c>
      <c r="M70" s="15">
        <v>0</v>
      </c>
      <c r="N70" s="15">
        <v>0</v>
      </c>
      <c r="O70" s="15">
        <v>300000</v>
      </c>
      <c r="P70" s="14" t="s">
        <v>831</v>
      </c>
    </row>
    <row r="71" spans="1:16" x14ac:dyDescent="0.25">
      <c r="A71" s="14" t="s">
        <v>773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40200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40200</v>
      </c>
      <c r="P71" s="14" t="s">
        <v>832</v>
      </c>
    </row>
    <row r="72" spans="1:16" x14ac:dyDescent="0.25">
      <c r="A72" s="14" t="s">
        <v>784</v>
      </c>
      <c r="B72" s="15">
        <v>0</v>
      </c>
      <c r="C72" s="15">
        <v>101382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101382</v>
      </c>
      <c r="P72" s="14" t="s">
        <v>340</v>
      </c>
    </row>
    <row r="73" spans="1:16" x14ac:dyDescent="0.25">
      <c r="A73" s="14" t="s">
        <v>789</v>
      </c>
      <c r="B73" s="15">
        <v>0</v>
      </c>
      <c r="C73" s="15">
        <v>0</v>
      </c>
      <c r="D73" s="15">
        <v>0</v>
      </c>
      <c r="E73" s="15">
        <v>101550</v>
      </c>
      <c r="F73" s="15">
        <v>0</v>
      </c>
      <c r="G73" s="15">
        <v>0</v>
      </c>
      <c r="H73" s="15">
        <v>4600</v>
      </c>
      <c r="I73" s="15">
        <v>89840</v>
      </c>
      <c r="J73" s="15">
        <v>20015</v>
      </c>
      <c r="K73" s="15">
        <v>0</v>
      </c>
      <c r="L73" s="15">
        <v>0</v>
      </c>
      <c r="M73" s="15">
        <v>0</v>
      </c>
      <c r="N73" s="15">
        <v>0</v>
      </c>
      <c r="O73" s="15">
        <v>216005</v>
      </c>
      <c r="P73" s="14" t="s">
        <v>340</v>
      </c>
    </row>
    <row r="74" spans="1:16" x14ac:dyDescent="0.25">
      <c r="A74" s="14" t="s">
        <v>814</v>
      </c>
      <c r="B74" s="15">
        <v>0</v>
      </c>
      <c r="C74" s="15">
        <v>181500.18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181500.18</v>
      </c>
      <c r="P74" s="14" t="s">
        <v>340</v>
      </c>
    </row>
    <row r="75" spans="1:16" x14ac:dyDescent="0.25">
      <c r="A75" s="14" t="s">
        <v>278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54614.45</v>
      </c>
      <c r="L75" s="15">
        <v>0</v>
      </c>
      <c r="M75" s="15">
        <v>0</v>
      </c>
      <c r="N75" s="15">
        <v>0</v>
      </c>
      <c r="O75" s="15">
        <v>54614.45</v>
      </c>
      <c r="P75" s="14" t="s">
        <v>350</v>
      </c>
    </row>
    <row r="76" spans="1:16" x14ac:dyDescent="0.25">
      <c r="A76" s="16" t="s">
        <v>353</v>
      </c>
      <c r="B76" s="17">
        <v>73909</v>
      </c>
      <c r="C76" s="17">
        <v>282882.18</v>
      </c>
      <c r="D76" s="17">
        <v>200000</v>
      </c>
      <c r="E76" s="17">
        <v>423075.9</v>
      </c>
      <c r="F76" s="17">
        <v>943205.97</v>
      </c>
      <c r="G76" s="17">
        <v>225121.09</v>
      </c>
      <c r="H76" s="17">
        <v>4600</v>
      </c>
      <c r="I76" s="17">
        <v>678278.72</v>
      </c>
      <c r="J76" s="17">
        <v>20015</v>
      </c>
      <c r="K76" s="17">
        <v>776959.45</v>
      </c>
      <c r="L76" s="17">
        <v>250000</v>
      </c>
      <c r="M76" s="17">
        <v>625000</v>
      </c>
      <c r="N76" s="17">
        <v>382500</v>
      </c>
      <c r="O76" s="17">
        <v>4885547.3099999996</v>
      </c>
      <c r="P76" s="18"/>
    </row>
  </sheetData>
  <autoFilter ref="A1:M1" xr:uid="{00000000-0009-0000-0000-000005000000}">
    <sortState ref="A2:M49">
      <sortCondition ref="C1"/>
    </sortState>
  </autoFilter>
  <mergeCells count="1">
    <mergeCell ref="A54:P54"/>
  </mergeCells>
  <pageMargins left="0.7" right="0.7" top="0.75" bottom="0.75" header="0.3" footer="0.3"/>
  <pageSetup paperSize="9" orientation="portrait" horizont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tabSelected="1" topLeftCell="A22" zoomScale="85" zoomScaleNormal="85" workbookViewId="0">
      <selection activeCell="J49" sqref="J49"/>
    </sheetView>
  </sheetViews>
  <sheetFormatPr defaultRowHeight="15" x14ac:dyDescent="0.25"/>
  <cols>
    <col min="1" max="1" width="39.5703125" style="9" customWidth="1"/>
    <col min="2" max="2" width="19.28515625" style="9" customWidth="1"/>
    <col min="3" max="3" width="25.7109375" style="9" customWidth="1"/>
    <col min="4" max="12" width="19.28515625" style="9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.5" customHeight="1" x14ac:dyDescent="0.25">
      <c r="A2" s="2" t="s">
        <v>833</v>
      </c>
      <c r="B2" s="3">
        <v>1000000</v>
      </c>
      <c r="C2" s="2" t="s">
        <v>834</v>
      </c>
      <c r="D2" s="2" t="s">
        <v>835</v>
      </c>
      <c r="E2" s="2" t="s">
        <v>836</v>
      </c>
      <c r="F2" s="2" t="s">
        <v>16</v>
      </c>
      <c r="G2" s="2" t="s">
        <v>17</v>
      </c>
      <c r="H2" s="2" t="s">
        <v>53</v>
      </c>
      <c r="I2" s="2" t="s">
        <v>19</v>
      </c>
      <c r="J2" s="2" t="s">
        <v>837</v>
      </c>
      <c r="K2" s="7">
        <v>46325</v>
      </c>
      <c r="L2" s="2" t="s">
        <v>838</v>
      </c>
    </row>
    <row r="3" spans="1:12" ht="15.75" customHeight="1" x14ac:dyDescent="0.25">
      <c r="A3" s="4" t="s">
        <v>839</v>
      </c>
      <c r="B3" s="5">
        <v>516000</v>
      </c>
      <c r="C3" s="4" t="s">
        <v>840</v>
      </c>
      <c r="D3" s="4" t="s">
        <v>841</v>
      </c>
      <c r="E3" s="4" t="s">
        <v>842</v>
      </c>
      <c r="F3" s="4" t="s">
        <v>16</v>
      </c>
      <c r="G3" s="4" t="s">
        <v>17</v>
      </c>
      <c r="H3" s="4" t="s">
        <v>62</v>
      </c>
      <c r="I3" s="4" t="s">
        <v>19</v>
      </c>
      <c r="J3" s="4" t="s">
        <v>843</v>
      </c>
      <c r="K3" s="7">
        <v>46233</v>
      </c>
      <c r="L3" s="4" t="s">
        <v>541</v>
      </c>
    </row>
    <row r="4" spans="1:12" ht="15.75" customHeight="1" x14ac:dyDescent="0.25">
      <c r="A4" s="4" t="s">
        <v>12</v>
      </c>
      <c r="B4" s="5">
        <v>18000</v>
      </c>
      <c r="C4" s="4" t="s">
        <v>844</v>
      </c>
      <c r="D4" s="4" t="s">
        <v>845</v>
      </c>
      <c r="E4" s="4" t="s">
        <v>846</v>
      </c>
      <c r="F4" s="4" t="s">
        <v>16</v>
      </c>
      <c r="G4" s="4" t="s">
        <v>17</v>
      </c>
      <c r="H4" s="4" t="s">
        <v>108</v>
      </c>
      <c r="I4" s="4" t="s">
        <v>19</v>
      </c>
      <c r="J4" s="4" t="s">
        <v>847</v>
      </c>
      <c r="K4" s="7">
        <v>46274</v>
      </c>
      <c r="L4" s="4" t="s">
        <v>133</v>
      </c>
    </row>
    <row r="5" spans="1:12" ht="15.75" customHeight="1" x14ac:dyDescent="0.25">
      <c r="A5" s="4" t="s">
        <v>12</v>
      </c>
      <c r="B5" s="5">
        <v>124178</v>
      </c>
      <c r="C5" s="4" t="s">
        <v>848</v>
      </c>
      <c r="D5" s="4" t="s">
        <v>849</v>
      </c>
      <c r="E5" s="4" t="s">
        <v>850</v>
      </c>
      <c r="F5" s="4" t="s">
        <v>16</v>
      </c>
      <c r="G5" s="4" t="s">
        <v>17</v>
      </c>
      <c r="H5" s="4" t="s">
        <v>62</v>
      </c>
      <c r="I5" s="4" t="s">
        <v>19</v>
      </c>
      <c r="J5" s="4" t="s">
        <v>851</v>
      </c>
      <c r="K5" s="7">
        <v>46280</v>
      </c>
      <c r="L5" s="4" t="s">
        <v>541</v>
      </c>
    </row>
    <row r="6" spans="1:12" ht="15.75" customHeight="1" x14ac:dyDescent="0.25">
      <c r="A6" s="4" t="s">
        <v>12</v>
      </c>
      <c r="B6" s="5">
        <v>1400</v>
      </c>
      <c r="C6" s="4" t="s">
        <v>848</v>
      </c>
      <c r="D6" s="4" t="s">
        <v>852</v>
      </c>
      <c r="E6" s="4" t="s">
        <v>853</v>
      </c>
      <c r="F6" s="4" t="s">
        <v>16</v>
      </c>
      <c r="G6" s="4" t="s">
        <v>17</v>
      </c>
      <c r="H6" s="4" t="s">
        <v>62</v>
      </c>
      <c r="I6" s="4" t="s">
        <v>19</v>
      </c>
      <c r="J6" s="4" t="s">
        <v>854</v>
      </c>
      <c r="K6" s="7">
        <v>46280</v>
      </c>
      <c r="L6" s="4" t="s">
        <v>541</v>
      </c>
    </row>
    <row r="7" spans="1:12" ht="15.75" customHeight="1" x14ac:dyDescent="0.25">
      <c r="A7" s="4" t="s">
        <v>839</v>
      </c>
      <c r="B7" s="5">
        <v>26000</v>
      </c>
      <c r="C7" s="4" t="s">
        <v>840</v>
      </c>
      <c r="D7" s="4" t="s">
        <v>855</v>
      </c>
      <c r="E7" s="4" t="s">
        <v>856</v>
      </c>
      <c r="F7" s="4" t="s">
        <v>16</v>
      </c>
      <c r="G7" s="4" t="s">
        <v>17</v>
      </c>
      <c r="H7" s="4" t="s">
        <v>62</v>
      </c>
      <c r="I7" s="4" t="s">
        <v>19</v>
      </c>
      <c r="J7" s="4" t="s">
        <v>857</v>
      </c>
      <c r="K7" s="7">
        <v>46312</v>
      </c>
      <c r="L7" s="4" t="s">
        <v>541</v>
      </c>
    </row>
    <row r="8" spans="1:12" ht="18.75" customHeight="1" x14ac:dyDescent="0.25">
      <c r="A8" s="4" t="s">
        <v>713</v>
      </c>
      <c r="B8" s="5">
        <v>80000</v>
      </c>
      <c r="C8" s="4" t="s">
        <v>858</v>
      </c>
      <c r="D8" s="4" t="s">
        <v>859</v>
      </c>
      <c r="E8" s="4" t="s">
        <v>860</v>
      </c>
      <c r="F8" s="4" t="s">
        <v>16</v>
      </c>
      <c r="G8" s="4" t="s">
        <v>17</v>
      </c>
      <c r="H8" s="4" t="s">
        <v>53</v>
      </c>
      <c r="I8" s="4" t="s">
        <v>19</v>
      </c>
      <c r="J8" s="4" t="s">
        <v>861</v>
      </c>
      <c r="K8" s="7">
        <v>46281</v>
      </c>
      <c r="L8" s="4" t="s">
        <v>229</v>
      </c>
    </row>
    <row r="9" spans="1:12" ht="15" customHeight="1" x14ac:dyDescent="0.25">
      <c r="A9" s="4" t="s">
        <v>12</v>
      </c>
      <c r="B9" s="5">
        <v>125174.35</v>
      </c>
      <c r="C9" s="4" t="s">
        <v>367</v>
      </c>
      <c r="D9" s="4" t="s">
        <v>862</v>
      </c>
      <c r="E9" s="4" t="s">
        <v>863</v>
      </c>
      <c r="F9" s="4" t="s">
        <v>16</v>
      </c>
      <c r="G9" s="4" t="s">
        <v>17</v>
      </c>
      <c r="H9" s="4" t="s">
        <v>25</v>
      </c>
      <c r="I9" s="4" t="s">
        <v>19</v>
      </c>
      <c r="J9" s="4" t="s">
        <v>864</v>
      </c>
      <c r="K9" s="7">
        <v>46261</v>
      </c>
      <c r="L9" s="4" t="s">
        <v>358</v>
      </c>
    </row>
    <row r="10" spans="1:12" ht="18.75" customHeight="1" x14ac:dyDescent="0.25">
      <c r="A10" s="4" t="s">
        <v>65</v>
      </c>
      <c r="B10" s="5">
        <v>51750</v>
      </c>
      <c r="C10" s="4" t="s">
        <v>865</v>
      </c>
      <c r="D10" s="4" t="s">
        <v>866</v>
      </c>
      <c r="E10" s="4" t="s">
        <v>867</v>
      </c>
      <c r="F10" s="4" t="s">
        <v>16</v>
      </c>
      <c r="G10" s="4" t="s">
        <v>17</v>
      </c>
      <c r="H10" s="4" t="s">
        <v>53</v>
      </c>
      <c r="I10" s="4" t="s">
        <v>19</v>
      </c>
      <c r="J10" s="4" t="s">
        <v>868</v>
      </c>
      <c r="K10" s="7">
        <v>46268</v>
      </c>
      <c r="L10" s="4" t="s">
        <v>98</v>
      </c>
    </row>
    <row r="11" spans="1:12" ht="18.75" customHeight="1" x14ac:dyDescent="0.25">
      <c r="A11" s="4" t="s">
        <v>65</v>
      </c>
      <c r="B11" s="5">
        <v>194349.8</v>
      </c>
      <c r="C11" s="4" t="s">
        <v>865</v>
      </c>
      <c r="D11" s="4" t="s">
        <v>869</v>
      </c>
      <c r="E11" s="4" t="s">
        <v>870</v>
      </c>
      <c r="F11" s="4" t="s">
        <v>16</v>
      </c>
      <c r="G11" s="4" t="s">
        <v>17</v>
      </c>
      <c r="H11" s="4" t="s">
        <v>53</v>
      </c>
      <c r="I11" s="4" t="s">
        <v>19</v>
      </c>
      <c r="J11" s="4" t="s">
        <v>871</v>
      </c>
      <c r="K11" s="7">
        <v>46268</v>
      </c>
      <c r="L11" s="4" t="s">
        <v>98</v>
      </c>
    </row>
    <row r="12" spans="1:12" ht="15.75" customHeight="1" x14ac:dyDescent="0.25">
      <c r="A12" s="4" t="s">
        <v>308</v>
      </c>
      <c r="B12" s="5">
        <v>38887.5</v>
      </c>
      <c r="C12" s="4" t="s">
        <v>872</v>
      </c>
      <c r="D12" s="4" t="s">
        <v>873</v>
      </c>
      <c r="E12" s="4" t="s">
        <v>874</v>
      </c>
      <c r="F12" s="4" t="s">
        <v>16</v>
      </c>
      <c r="G12" s="4" t="s">
        <v>17</v>
      </c>
      <c r="H12" s="4" t="s">
        <v>45</v>
      </c>
      <c r="I12" s="4" t="s">
        <v>19</v>
      </c>
      <c r="J12" s="4" t="s">
        <v>875</v>
      </c>
      <c r="K12" s="7">
        <v>46262</v>
      </c>
      <c r="L12" s="4" t="s">
        <v>385</v>
      </c>
    </row>
    <row r="13" spans="1:12" ht="15.75" customHeight="1" x14ac:dyDescent="0.25">
      <c r="A13" s="4" t="s">
        <v>308</v>
      </c>
      <c r="B13" s="5">
        <v>445472.02</v>
      </c>
      <c r="C13" s="4" t="s">
        <v>876</v>
      </c>
      <c r="D13" s="4" t="s">
        <v>877</v>
      </c>
      <c r="E13" s="4" t="s">
        <v>878</v>
      </c>
      <c r="F13" s="4" t="s">
        <v>16</v>
      </c>
      <c r="G13" s="4" t="s">
        <v>17</v>
      </c>
      <c r="H13" s="4" t="s">
        <v>45</v>
      </c>
      <c r="I13" s="4" t="s">
        <v>19</v>
      </c>
      <c r="J13" s="4" t="s">
        <v>879</v>
      </c>
      <c r="K13" s="7">
        <v>46276</v>
      </c>
      <c r="L13" s="4" t="s">
        <v>385</v>
      </c>
    </row>
    <row r="14" spans="1:12" ht="15.75" customHeight="1" x14ac:dyDescent="0.25">
      <c r="A14" s="4" t="s">
        <v>65</v>
      </c>
      <c r="B14" s="5">
        <v>10500</v>
      </c>
      <c r="C14" s="4" t="s">
        <v>880</v>
      </c>
      <c r="D14" s="4" t="s">
        <v>881</v>
      </c>
      <c r="E14" s="4" t="s">
        <v>882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883</v>
      </c>
      <c r="K14" s="7">
        <v>46276</v>
      </c>
      <c r="L14" s="4" t="s">
        <v>627</v>
      </c>
    </row>
    <row r="15" spans="1:12" ht="15.75" customHeight="1" x14ac:dyDescent="0.25">
      <c r="A15" s="4" t="s">
        <v>65</v>
      </c>
      <c r="B15" s="5">
        <v>33100</v>
      </c>
      <c r="C15" s="4" t="s">
        <v>880</v>
      </c>
      <c r="D15" s="4" t="s">
        <v>884</v>
      </c>
      <c r="E15" s="4" t="s">
        <v>885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886</v>
      </c>
      <c r="K15" s="7">
        <v>46268</v>
      </c>
      <c r="L15" s="4" t="s">
        <v>627</v>
      </c>
    </row>
    <row r="16" spans="1:12" ht="15.75" customHeight="1" x14ac:dyDescent="0.25">
      <c r="A16" s="4" t="s">
        <v>65</v>
      </c>
      <c r="B16" s="5">
        <v>78340</v>
      </c>
      <c r="C16" s="4" t="s">
        <v>880</v>
      </c>
      <c r="D16" s="4" t="s">
        <v>887</v>
      </c>
      <c r="E16" s="4" t="s">
        <v>888</v>
      </c>
      <c r="F16" s="4" t="s">
        <v>16</v>
      </c>
      <c r="G16" s="4" t="s">
        <v>17</v>
      </c>
      <c r="H16" s="4" t="s">
        <v>18</v>
      </c>
      <c r="I16" s="4" t="s">
        <v>19</v>
      </c>
      <c r="J16" s="4" t="s">
        <v>889</v>
      </c>
      <c r="K16" s="7">
        <v>46220</v>
      </c>
      <c r="L16" s="4" t="s">
        <v>627</v>
      </c>
    </row>
    <row r="17" spans="1:12" ht="15.75" customHeight="1" x14ac:dyDescent="0.25">
      <c r="A17" s="4" t="s">
        <v>65</v>
      </c>
      <c r="B17" s="5">
        <v>8980</v>
      </c>
      <c r="C17" s="4" t="s">
        <v>880</v>
      </c>
      <c r="D17" s="4" t="s">
        <v>890</v>
      </c>
      <c r="E17" s="4" t="s">
        <v>891</v>
      </c>
      <c r="F17" s="4" t="s">
        <v>16</v>
      </c>
      <c r="G17" s="4" t="s">
        <v>17</v>
      </c>
      <c r="H17" s="4" t="s">
        <v>18</v>
      </c>
      <c r="I17" s="4" t="s">
        <v>19</v>
      </c>
      <c r="J17" s="4" t="s">
        <v>892</v>
      </c>
      <c r="K17" s="7">
        <v>46272</v>
      </c>
      <c r="L17" s="4" t="s">
        <v>627</v>
      </c>
    </row>
    <row r="18" spans="1:12" ht="15.75" customHeight="1" x14ac:dyDescent="0.25">
      <c r="A18" s="4" t="s">
        <v>65</v>
      </c>
      <c r="B18" s="5">
        <v>33300</v>
      </c>
      <c r="C18" s="4" t="s">
        <v>880</v>
      </c>
      <c r="D18" s="4" t="s">
        <v>893</v>
      </c>
      <c r="E18" s="4" t="s">
        <v>894</v>
      </c>
      <c r="F18" s="4" t="s">
        <v>16</v>
      </c>
      <c r="G18" s="4" t="s">
        <v>17</v>
      </c>
      <c r="H18" s="4" t="s">
        <v>18</v>
      </c>
      <c r="I18" s="4" t="s">
        <v>19</v>
      </c>
      <c r="J18" s="4" t="s">
        <v>895</v>
      </c>
      <c r="K18" s="7">
        <v>46280</v>
      </c>
      <c r="L18" s="4" t="s">
        <v>627</v>
      </c>
    </row>
    <row r="19" spans="1:12" ht="15.75" customHeight="1" x14ac:dyDescent="0.25">
      <c r="A19" s="4" t="s">
        <v>65</v>
      </c>
      <c r="B19" s="5">
        <v>79935.12</v>
      </c>
      <c r="C19" s="4" t="s">
        <v>880</v>
      </c>
      <c r="D19" s="4" t="s">
        <v>896</v>
      </c>
      <c r="E19" s="4" t="s">
        <v>897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898</v>
      </c>
      <c r="K19" s="7">
        <v>46206</v>
      </c>
      <c r="L19" s="4" t="s">
        <v>627</v>
      </c>
    </row>
    <row r="20" spans="1:12" ht="15.75" customHeight="1" x14ac:dyDescent="0.25">
      <c r="A20" s="4" t="s">
        <v>65</v>
      </c>
      <c r="B20" s="5">
        <v>90530</v>
      </c>
      <c r="C20" s="4" t="s">
        <v>880</v>
      </c>
      <c r="D20" s="4" t="s">
        <v>899</v>
      </c>
      <c r="E20" s="4" t="s">
        <v>900</v>
      </c>
      <c r="F20" s="4" t="s">
        <v>16</v>
      </c>
      <c r="G20" s="4" t="s">
        <v>17</v>
      </c>
      <c r="H20" s="4" t="s">
        <v>18</v>
      </c>
      <c r="I20" s="4" t="s">
        <v>19</v>
      </c>
      <c r="J20" s="4" t="s">
        <v>901</v>
      </c>
      <c r="K20" s="7">
        <v>46205</v>
      </c>
      <c r="L20" s="4" t="s">
        <v>627</v>
      </c>
    </row>
    <row r="21" spans="1:12" ht="15.75" customHeight="1" x14ac:dyDescent="0.25">
      <c r="A21" s="4" t="s">
        <v>65</v>
      </c>
      <c r="B21" s="5">
        <v>48100</v>
      </c>
      <c r="C21" s="4" t="s">
        <v>880</v>
      </c>
      <c r="D21" s="4" t="s">
        <v>902</v>
      </c>
      <c r="E21" s="4" t="s">
        <v>903</v>
      </c>
      <c r="F21" s="4" t="s">
        <v>16</v>
      </c>
      <c r="G21" s="4" t="s">
        <v>17</v>
      </c>
      <c r="H21" s="4" t="s">
        <v>18</v>
      </c>
      <c r="I21" s="4" t="s">
        <v>19</v>
      </c>
      <c r="J21" s="4" t="s">
        <v>904</v>
      </c>
      <c r="K21" s="7">
        <v>46269</v>
      </c>
      <c r="L21" s="4" t="s">
        <v>627</v>
      </c>
    </row>
    <row r="22" spans="1:12" x14ac:dyDescent="0.25">
      <c r="B22" s="10"/>
    </row>
    <row r="26" spans="1:12" x14ac:dyDescent="0.25">
      <c r="B26" s="10"/>
    </row>
    <row r="30" spans="1:12" ht="18.75" x14ac:dyDescent="0.3">
      <c r="A30" s="19" t="s">
        <v>319</v>
      </c>
      <c r="B30" s="20"/>
      <c r="C30" s="20"/>
      <c r="D30" s="20"/>
      <c r="E30" s="20"/>
      <c r="F30" s="20"/>
      <c r="G30" s="20"/>
      <c r="H30" s="20"/>
      <c r="I30" s="20"/>
    </row>
    <row r="32" spans="1:12" ht="30" x14ac:dyDescent="0.25">
      <c r="A32" s="13" t="s">
        <v>320</v>
      </c>
      <c r="B32" s="13" t="s">
        <v>25</v>
      </c>
      <c r="C32" s="13" t="s">
        <v>108</v>
      </c>
      <c r="D32" s="13" t="s">
        <v>45</v>
      </c>
      <c r="E32" s="13" t="s">
        <v>18</v>
      </c>
      <c r="F32" s="13" t="s">
        <v>53</v>
      </c>
      <c r="G32" s="13" t="s">
        <v>62</v>
      </c>
      <c r="H32" s="13" t="s">
        <v>321</v>
      </c>
      <c r="I32" s="13" t="s">
        <v>322</v>
      </c>
    </row>
    <row r="33" spans="1:9" x14ac:dyDescent="0.25">
      <c r="A33" s="14" t="s">
        <v>880</v>
      </c>
      <c r="B33" s="15">
        <v>0</v>
      </c>
      <c r="C33" s="15">
        <v>0</v>
      </c>
      <c r="D33" s="15">
        <v>0</v>
      </c>
      <c r="E33" s="15">
        <v>382785.12</v>
      </c>
      <c r="F33" s="15">
        <v>0</v>
      </c>
      <c r="G33" s="15">
        <v>0</v>
      </c>
      <c r="H33" s="15">
        <v>382785.12</v>
      </c>
      <c r="I33" s="14" t="s">
        <v>340</v>
      </c>
    </row>
    <row r="34" spans="1:9" x14ac:dyDescent="0.25">
      <c r="A34" s="14" t="s">
        <v>844</v>
      </c>
      <c r="B34" s="15">
        <v>0</v>
      </c>
      <c r="C34" s="15">
        <v>18000</v>
      </c>
      <c r="D34" s="15">
        <v>0</v>
      </c>
      <c r="E34" s="15">
        <v>0</v>
      </c>
      <c r="F34" s="15">
        <v>0</v>
      </c>
      <c r="G34" s="15">
        <v>0</v>
      </c>
      <c r="H34" s="15">
        <v>18000</v>
      </c>
      <c r="I34" s="14" t="s">
        <v>905</v>
      </c>
    </row>
    <row r="35" spans="1:9" x14ac:dyDescent="0.25">
      <c r="A35" s="14" t="s">
        <v>872</v>
      </c>
      <c r="B35" s="15">
        <v>0</v>
      </c>
      <c r="C35" s="15">
        <v>0</v>
      </c>
      <c r="D35" s="15">
        <v>38887.5</v>
      </c>
      <c r="E35" s="15">
        <v>0</v>
      </c>
      <c r="F35" s="15">
        <v>0</v>
      </c>
      <c r="G35" s="15">
        <v>0</v>
      </c>
      <c r="H35" s="15">
        <v>38887.5</v>
      </c>
      <c r="I35" s="14" t="s">
        <v>324</v>
      </c>
    </row>
    <row r="36" spans="1:9" x14ac:dyDescent="0.25">
      <c r="A36" s="14" t="s">
        <v>848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125578</v>
      </c>
      <c r="H36" s="15">
        <v>125578</v>
      </c>
      <c r="I36" s="14" t="s">
        <v>329</v>
      </c>
    </row>
    <row r="37" spans="1:9" x14ac:dyDescent="0.25">
      <c r="A37" s="14" t="s">
        <v>367</v>
      </c>
      <c r="B37" s="15">
        <v>125174.35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125174.35</v>
      </c>
      <c r="I37" s="14" t="s">
        <v>325</v>
      </c>
    </row>
    <row r="38" spans="1:9" x14ac:dyDescent="0.25">
      <c r="A38" s="14" t="s">
        <v>840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542000</v>
      </c>
      <c r="H38" s="15">
        <v>542000</v>
      </c>
      <c r="I38" s="14" t="s">
        <v>616</v>
      </c>
    </row>
    <row r="39" spans="1:9" x14ac:dyDescent="0.25">
      <c r="A39" s="14" t="s">
        <v>858</v>
      </c>
      <c r="B39" s="15">
        <v>0</v>
      </c>
      <c r="C39" s="15">
        <v>0</v>
      </c>
      <c r="D39" s="15">
        <v>0</v>
      </c>
      <c r="E39" s="15">
        <v>0</v>
      </c>
      <c r="F39" s="15">
        <v>80000</v>
      </c>
      <c r="G39" s="15">
        <v>0</v>
      </c>
      <c r="H39" s="15">
        <v>80000</v>
      </c>
      <c r="I39" s="14" t="s">
        <v>906</v>
      </c>
    </row>
    <row r="40" spans="1:9" x14ac:dyDescent="0.25">
      <c r="A40" s="14" t="s">
        <v>865</v>
      </c>
      <c r="B40" s="15">
        <v>0</v>
      </c>
      <c r="C40" s="15">
        <v>0</v>
      </c>
      <c r="D40" s="15">
        <v>0</v>
      </c>
      <c r="E40" s="15">
        <v>0</v>
      </c>
      <c r="F40" s="15">
        <v>246099.8</v>
      </c>
      <c r="G40" s="15">
        <v>0</v>
      </c>
      <c r="H40" s="15">
        <v>246099.8</v>
      </c>
      <c r="I40" s="14" t="s">
        <v>907</v>
      </c>
    </row>
    <row r="41" spans="1:9" x14ac:dyDescent="0.25">
      <c r="A41" s="14" t="s">
        <v>834</v>
      </c>
      <c r="B41" s="15">
        <v>0</v>
      </c>
      <c r="C41" s="15">
        <v>0</v>
      </c>
      <c r="D41" s="15">
        <v>0</v>
      </c>
      <c r="E41" s="15">
        <v>0</v>
      </c>
      <c r="F41" s="15">
        <v>1000000</v>
      </c>
      <c r="G41" s="15">
        <v>0</v>
      </c>
      <c r="H41" s="15">
        <v>1000000</v>
      </c>
      <c r="I41" s="14" t="s">
        <v>908</v>
      </c>
    </row>
    <row r="42" spans="1:9" x14ac:dyDescent="0.25">
      <c r="A42" s="14" t="s">
        <v>876</v>
      </c>
      <c r="B42" s="15">
        <v>0</v>
      </c>
      <c r="C42" s="15">
        <v>0</v>
      </c>
      <c r="D42" s="15">
        <v>445472.02</v>
      </c>
      <c r="E42" s="15">
        <v>0</v>
      </c>
      <c r="F42" s="15">
        <v>0</v>
      </c>
      <c r="G42" s="15">
        <v>0</v>
      </c>
      <c r="H42" s="15">
        <v>445472.02</v>
      </c>
      <c r="I42" s="14" t="s">
        <v>324</v>
      </c>
    </row>
    <row r="43" spans="1:9" x14ac:dyDescent="0.25">
      <c r="A43" s="16" t="s">
        <v>353</v>
      </c>
      <c r="B43" s="17">
        <v>125174.35</v>
      </c>
      <c r="C43" s="17">
        <v>18000</v>
      </c>
      <c r="D43" s="17">
        <v>484359.52</v>
      </c>
      <c r="E43" s="17">
        <v>382785.12</v>
      </c>
      <c r="F43" s="17">
        <v>1326099.8</v>
      </c>
      <c r="G43" s="17">
        <v>667578</v>
      </c>
      <c r="H43" s="17">
        <v>3003996.79</v>
      </c>
      <c r="I43" s="18"/>
    </row>
  </sheetData>
  <autoFilter ref="A1:L1" xr:uid="{00000000-0009-0000-0000-000006000000}"/>
  <mergeCells count="1">
    <mergeCell ref="A30:I30"/>
  </mergeCells>
  <pageMargins left="0.7" right="0.7" top="0.75" bottom="0.75" header="0.3" footer="0.3"/>
  <pageSetup paperSize="9" orientation="portrait" horizont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Филиалы</vt:lpstr>
      <vt:lpstr>УК</vt:lpstr>
      <vt:lpstr>Жилье, питание, связь, аренда</vt:lpstr>
      <vt:lpstr>Непереносимые оплаты</vt:lpstr>
      <vt:lpstr>Оплаты в рамках 100 т.р.</vt:lpstr>
      <vt:lpstr>График</vt:lpstr>
      <vt:lpstr>Согласовано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Миненков Андрей Юрьевич</dc:creator>
  <cp:lastModifiedBy>Миненков Андрей Юрьевич</cp:lastModifiedBy>
  <dcterms:created xsi:type="dcterms:W3CDTF">2026-08-10T07:15:51Z</dcterms:created>
  <dcterms:modified xsi:type="dcterms:W3CDTF">2026-09-17T07:00:47Z</dcterms:modified>
</cp:coreProperties>
</file>